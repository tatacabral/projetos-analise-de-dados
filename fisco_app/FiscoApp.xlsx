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Análise de Dados\Excel com IA Santander - Bootcamp DIO\Projeto 2 - Criando um organizador de importo de renda\Fisco_App\"/>
    </mc:Choice>
  </mc:AlternateContent>
  <bookViews>
    <workbookView xWindow="0" yWindow="0" windowWidth="20490" windowHeight="8190" tabRatio="51" firstSheet="3" activeTab="3"/>
  </bookViews>
  <sheets>
    <sheet name="TITULAR" sheetId="1" r:id="rId1"/>
    <sheet name="INFORMES" sheetId="11" r:id="rId2"/>
    <sheet name="NOTAS" sheetId="12" r:id="rId3"/>
    <sheet name="SIMULAÇÃO" sheetId="13" r:id="rId4"/>
    <sheet name="Bancos" sheetId="4" state="hidden" r:id="rId5"/>
  </sheets>
  <definedNames>
    <definedName name="aliquota">SIMULAÇÃO!$D$18</definedName>
    <definedName name="base_calculo">SIMULAÇÃO!$D$17</definedName>
    <definedName name="deducoes">SIMULAÇÃO!$D$16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3" l="1"/>
  <c r="D16" i="13" l="1"/>
  <c r="D10" i="13"/>
  <c r="D9" i="13"/>
  <c r="D15" i="13" s="1"/>
  <c r="D17" i="13" s="1"/>
  <c r="D18" i="13" s="1"/>
  <c r="D19" i="13" s="1"/>
  <c r="D21" i="13" s="1"/>
  <c r="D8" i="13"/>
  <c r="C7" i="11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3" i="4"/>
</calcChain>
</file>

<file path=xl/sharedStrings.xml><?xml version="1.0" encoding="utf-8"?>
<sst xmlns="http://schemas.openxmlformats.org/spreadsheetml/2006/main" count="189" uniqueCount="137">
  <si>
    <t>Preencha os dados da sua pessoa física abaixo</t>
  </si>
  <si>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</si>
  <si>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</si>
  <si>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</si>
  <si>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</si>
  <si>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</si>
  <si>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</si>
  <si>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</si>
  <si>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</si>
  <si>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</si>
  <si>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</si>
  <si>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</si>
  <si>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</si>
  <si>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CHRISTINA BELLINI DELACROIX</t>
  </si>
  <si>
    <t>CÔNJUGE</t>
  </si>
  <si>
    <t>Avenida Luiz Greco, 91</t>
  </si>
  <si>
    <t>Fernando Delacroix</t>
  </si>
  <si>
    <t>Av. Luiz Greco, 91</t>
  </si>
  <si>
    <t>13142-536</t>
  </si>
  <si>
    <t>(11) 3253-3253</t>
  </si>
  <si>
    <t>thaisc_cabral@hotmail.com</t>
  </si>
  <si>
    <t>SIM</t>
  </si>
  <si>
    <t>NÃO</t>
  </si>
  <si>
    <t>TOTAL</t>
  </si>
  <si>
    <t>1º Banco</t>
  </si>
  <si>
    <t>BANCO</t>
  </si>
  <si>
    <t>VALOR ATUAL</t>
  </si>
  <si>
    <t>336 - C6 Bank</t>
  </si>
  <si>
    <t>Código</t>
  </si>
  <si>
    <t>Nome do banco</t>
  </si>
  <si>
    <t>Banco do Brasil</t>
  </si>
  <si>
    <t>Banco da Amazônia</t>
  </si>
  <si>
    <t>Banrisul</t>
  </si>
  <si>
    <t>Banco Inter</t>
  </si>
  <si>
    <t>Caixa Econômica Federal</t>
  </si>
  <si>
    <t>PagBank</t>
  </si>
  <si>
    <t>Mercado Pago</t>
  </si>
  <si>
    <t>C6 Bank</t>
  </si>
  <si>
    <t>Itaú Unibanco</t>
  </si>
  <si>
    <t>Banco Mercantil do Brasil</t>
  </si>
  <si>
    <t>Banco Safra</t>
  </si>
  <si>
    <t>Banco Pan</t>
  </si>
  <si>
    <t>Banco Rendimento</t>
  </si>
  <si>
    <t>Banco Cooperativo Sicoob</t>
  </si>
  <si>
    <t>237 - Bradesco</t>
  </si>
  <si>
    <t>São todos os valores de entrada mês a mês de receita</t>
  </si>
  <si>
    <t>DATA</t>
  </si>
  <si>
    <t>CATEGORIA</t>
  </si>
  <si>
    <t>VALOR</t>
  </si>
  <si>
    <t>ANEXO 📎</t>
  </si>
  <si>
    <t>Banco do Nordeste</t>
  </si>
  <si>
    <t>Banco Inbursa</t>
  </si>
  <si>
    <t>Banestes – Banco do Estado do Espírito Santo</t>
  </si>
  <si>
    <t>Banco Alfa</t>
  </si>
  <si>
    <t>Banpará – Banco do Estado do Pará</t>
  </si>
  <si>
    <t>Banco Cargill</t>
  </si>
  <si>
    <t>Banese – Banco do Estado de Sergipe</t>
  </si>
  <si>
    <t>Hipercard Banco Múltiplo</t>
  </si>
  <si>
    <t>Goldman Sachs do Brasil</t>
  </si>
  <si>
    <t>Banco Andbank Brasil</t>
  </si>
  <si>
    <t>Banco Crefisa</t>
  </si>
  <si>
    <t>BRB – Banco de Brasília</t>
  </si>
  <si>
    <t>Banco J. Safra</t>
  </si>
  <si>
    <t>Banco ABN AMRO</t>
  </si>
  <si>
    <t>Banco KDB Brasil</t>
  </si>
  <si>
    <t>Banco Topázio</t>
  </si>
  <si>
    <t>Bank of China Brasil</t>
  </si>
  <si>
    <t>Banco Finaxis</t>
  </si>
  <si>
    <t>Banco B3</t>
  </si>
  <si>
    <t>XP Investimentos / Banco XP</t>
  </si>
  <si>
    <t>Banco BTG Pactual</t>
  </si>
  <si>
    <t>Banco Original</t>
  </si>
  <si>
    <t>Banco Bradesco</t>
  </si>
  <si>
    <t>Nubank – Nu Pagamentos</t>
  </si>
  <si>
    <t>Banco XP</t>
  </si>
  <si>
    <t>PicPay</t>
  </si>
  <si>
    <t>Citibank</t>
  </si>
  <si>
    <t>Banco Pine</t>
  </si>
  <si>
    <t>Banco Digimais</t>
  </si>
  <si>
    <t>Banco BV (Votorantim)</t>
  </si>
  <si>
    <t>Banco Daycoval</t>
  </si>
  <si>
    <t>Banco Neon</t>
  </si>
  <si>
    <t>Banco Ribeirão Preto</t>
  </si>
  <si>
    <t>Banco Cooperativo Sicredi</t>
  </si>
  <si>
    <t>2º Banco</t>
  </si>
  <si>
    <t>3º Banco</t>
  </si>
  <si>
    <t>4º Banco</t>
  </si>
  <si>
    <t>260 - Nubank – Nu Pagamentos</t>
  </si>
  <si>
    <t>bancox.pdf</t>
  </si>
  <si>
    <t>bancoy.pdf</t>
  </si>
  <si>
    <t>bancoz.pdf</t>
  </si>
  <si>
    <t>banconu.pdf</t>
  </si>
  <si>
    <t>Código + Banco</t>
  </si>
  <si>
    <t>BNDES</t>
  </si>
  <si>
    <t>Banco Santander</t>
  </si>
  <si>
    <t>RESIDENTE DO EXTERIOR</t>
  </si>
  <si>
    <t>33 - Banco Santander</t>
  </si>
  <si>
    <t>4. SIMULAÇÃO DO IRPF</t>
  </si>
  <si>
    <t>3. NOTAS BANCÁRIAS: RENDIMENTOS E ENTRADAS</t>
  </si>
  <si>
    <t>2. INFORMES: CONTAS E SALDOS BANCÁRIOS</t>
  </si>
  <si>
    <t>Preencha com seu saldo em 31/12 em cada banco</t>
  </si>
  <si>
    <t>CLASSIFICAÇÃO IR</t>
  </si>
  <si>
    <t>Salário</t>
  </si>
  <si>
    <t>Rendimentos bancários</t>
  </si>
  <si>
    <t>Tranferências própria</t>
  </si>
  <si>
    <t>Tributável</t>
  </si>
  <si>
    <t>ENTRADAS E RENDIMENTOS</t>
  </si>
  <si>
    <t>Parcela a deduzir</t>
  </si>
  <si>
    <t>Total de entradas</t>
  </si>
  <si>
    <t>Rendimentos tributáveis</t>
  </si>
  <si>
    <t>Rendimentos isentos</t>
  </si>
  <si>
    <t>Outros valores não tributáveis</t>
  </si>
  <si>
    <t>Deduções</t>
  </si>
  <si>
    <t>Base de cálculo</t>
  </si>
  <si>
    <t>Alíquota aplicável</t>
  </si>
  <si>
    <t>Não tributável</t>
  </si>
  <si>
    <t>Pix recebido</t>
  </si>
  <si>
    <t>Outros</t>
  </si>
  <si>
    <t>Isento</t>
  </si>
  <si>
    <t>DESCRIÇÃO</t>
  </si>
  <si>
    <t>INDICADOR</t>
  </si>
  <si>
    <t>Dependente</t>
  </si>
  <si>
    <t>Saúde</t>
  </si>
  <si>
    <t>SIMULAÇÃO</t>
  </si>
  <si>
    <t>BASE DE CÁLCULO ANUAL</t>
  </si>
  <si>
    <t>ALÍQUOTA</t>
  </si>
  <si>
    <t>PARCELA A DEDUZIR</t>
  </si>
  <si>
    <t>DE</t>
  </si>
  <si>
    <t>ATÉ</t>
  </si>
  <si>
    <t>-</t>
  </si>
  <si>
    <t>1. DADOS DO TITULAR</t>
  </si>
  <si>
    <t>RESUMO DOS RENDIMENTOS ANUAIS</t>
  </si>
  <si>
    <t>DEDUÇÕES AO ANO</t>
  </si>
  <si>
    <t xml:space="preserve">    TABELA DE ALÍQUOTA IRPF AO ANO 2026</t>
  </si>
  <si>
    <t>%</t>
  </si>
  <si>
    <t>Preencha as deduções e ajuste os limítes da alíquota se necessário</t>
  </si>
  <si>
    <t>Imposto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</si>
</sst>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R$&quot;\ #,##0;[Red]\-&quot;R$&quot;\ #,##0"/>
    <numFmt numFmtId="8" formatCode="&quot;R$&quot;\ #,##0.00;[Red]\-&quot;R$&quot;\ #,##0.00"/>
    <numFmt numFmtId="164" formatCode="000&quot;.&quot;000&quot;.&quot;000&quot;-&quot;00"/>
    <numFmt numFmtId="165" formatCode="00000\-000"/>
    <numFmt numFmtId="166" formatCode="[&lt;=9999999]###\-####;\(###\)\ ###\-####"/>
    <numFmt numFmtId="167" formatCode="&quot;(&quot;00&quot;) &quot;00000&quot;-&quot;0000"/>
    <numFmt numFmtId="168" formatCode="&quot;R$&quot;\ #,##0.00"/>
    <numFmt numFmtId="169" formatCode="mmmm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C55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C55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FF1B8"/>
        <bgColor indexed="64"/>
      </patternFill>
    </fill>
    <fill>
      <patternFill patternType="solid">
        <fgColor rgb="FFFFFFCC"/>
      </patternFill>
    </fill>
    <fill>
      <patternFill patternType="solid">
        <fgColor rgb="FFFFF9E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FF8800"/>
      </bottom>
      <diagonal/>
    </border>
    <border>
      <left/>
      <right/>
      <top style="thick">
        <color rgb="FFFF8800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3" fillId="5" borderId="2" applyNumberFormat="0" applyFont="0" applyAlignment="0" applyProtection="0"/>
  </cellStyleXfs>
  <cellXfs count="8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11" fontId="0" fillId="0" borderId="0" xfId="0" applyNumberFormat="1"/>
    <xf numFmtId="0" fontId="4" fillId="0" borderId="3" xfId="2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16" xfId="0" applyBorder="1"/>
    <xf numFmtId="0" fontId="8" fillId="0" borderId="0" xfId="0" applyFont="1"/>
    <xf numFmtId="169" fontId="0" fillId="0" borderId="0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6" fillId="0" borderId="3" xfId="2" applyFont="1" applyBorder="1" applyAlignment="1">
      <alignment horizontal="left"/>
    </xf>
    <xf numFmtId="0" fontId="6" fillId="0" borderId="0" xfId="2" applyFont="1" applyFill="1" applyBorder="1" applyAlignment="1"/>
    <xf numFmtId="0" fontId="7" fillId="0" borderId="0" xfId="0" applyFont="1" applyFill="1" applyBorder="1" applyAlignment="1"/>
    <xf numFmtId="0" fontId="7" fillId="4" borderId="0" xfId="0" applyFont="1" applyFill="1" applyBorder="1" applyAlignment="1">
      <alignment horizontal="left" indent="3"/>
    </xf>
    <xf numFmtId="0" fontId="0" fillId="0" borderId="0" xfId="0" applyAlignment="1" applyProtection="1">
      <alignment horizontal="center"/>
      <protection locked="0"/>
    </xf>
    <xf numFmtId="0" fontId="0" fillId="0" borderId="14" xfId="3" applyFont="1" applyFill="1" applyBorder="1" applyAlignment="1" applyProtection="1">
      <alignment horizontal="right"/>
      <protection locked="0"/>
    </xf>
    <xf numFmtId="165" fontId="0" fillId="0" borderId="14" xfId="3" applyNumberFormat="1" applyFont="1" applyFill="1" applyBorder="1" applyAlignment="1" applyProtection="1">
      <alignment horizontal="right"/>
      <protection locked="0"/>
    </xf>
    <xf numFmtId="166" fontId="0" fillId="0" borderId="14" xfId="3" applyNumberFormat="1" applyFont="1" applyFill="1" applyBorder="1" applyAlignment="1" applyProtection="1">
      <alignment horizontal="right"/>
      <protection locked="0"/>
    </xf>
    <xf numFmtId="167" fontId="0" fillId="0" borderId="14" xfId="3" applyNumberFormat="1" applyFont="1" applyFill="1" applyBorder="1" applyAlignment="1" applyProtection="1">
      <alignment horizontal="right"/>
      <protection locked="0"/>
    </xf>
    <xf numFmtId="0" fontId="2" fillId="0" borderId="14" xfId="1" applyFill="1" applyBorder="1" applyAlignment="1" applyProtection="1">
      <alignment horizontal="right"/>
      <protection locked="0"/>
    </xf>
    <xf numFmtId="168" fontId="0" fillId="4" borderId="19" xfId="0" applyNumberFormat="1" applyFill="1" applyBorder="1" applyAlignment="1" applyProtection="1">
      <alignment horizontal="center"/>
      <protection locked="0"/>
    </xf>
    <xf numFmtId="0" fontId="0" fillId="4" borderId="20" xfId="0" applyFill="1" applyBorder="1" applyAlignment="1" applyProtection="1">
      <alignment horizontal="center"/>
      <protection locked="0"/>
    </xf>
    <xf numFmtId="168" fontId="0" fillId="6" borderId="19" xfId="0" applyNumberFormat="1" applyFill="1" applyBorder="1" applyAlignment="1" applyProtection="1">
      <alignment horizontal="center"/>
      <protection locked="0"/>
    </xf>
    <xf numFmtId="0" fontId="0" fillId="6" borderId="20" xfId="0" applyFill="1" applyBorder="1" applyAlignment="1" applyProtection="1">
      <alignment horizontal="center"/>
      <protection locked="0"/>
    </xf>
    <xf numFmtId="0" fontId="0" fillId="7" borderId="6" xfId="0" applyFill="1" applyBorder="1" applyAlignment="1">
      <alignment horizontal="right" vertical="center" wrapText="1"/>
    </xf>
    <xf numFmtId="8" fontId="0" fillId="7" borderId="7" xfId="0" applyNumberForma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right" vertical="center" wrapText="1"/>
    </xf>
    <xf numFmtId="8" fontId="0" fillId="7" borderId="15" xfId="0" applyNumberForma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right"/>
    </xf>
    <xf numFmtId="0" fontId="0" fillId="7" borderId="10" xfId="0" applyFill="1" applyBorder="1" applyAlignment="1">
      <alignment horizontal="right"/>
    </xf>
    <xf numFmtId="0" fontId="0" fillId="7" borderId="12" xfId="0" applyFill="1" applyBorder="1" applyAlignment="1">
      <alignment horizontal="right"/>
    </xf>
    <xf numFmtId="0" fontId="0" fillId="0" borderId="9" xfId="3" applyFont="1" applyFill="1" applyBorder="1" applyAlignment="1" applyProtection="1">
      <alignment horizontal="left"/>
      <protection locked="0"/>
    </xf>
    <xf numFmtId="164" fontId="0" fillId="0" borderId="11" xfId="3" applyNumberFormat="1" applyFont="1" applyFill="1" applyBorder="1" applyAlignment="1" applyProtection="1">
      <alignment horizontal="left"/>
      <protection locked="0"/>
    </xf>
    <xf numFmtId="14" fontId="0" fillId="0" borderId="11" xfId="3" applyNumberFormat="1" applyFont="1" applyFill="1" applyBorder="1" applyAlignment="1" applyProtection="1">
      <alignment horizontal="left"/>
      <protection locked="0"/>
    </xf>
    <xf numFmtId="0" fontId="0" fillId="0" borderId="11" xfId="3" applyFont="1" applyFill="1" applyBorder="1" applyAlignment="1" applyProtection="1">
      <alignment horizontal="left"/>
      <protection locked="0"/>
    </xf>
    <xf numFmtId="165" fontId="0" fillId="0" borderId="11" xfId="3" applyNumberFormat="1" applyFont="1" applyFill="1" applyBorder="1" applyAlignment="1" applyProtection="1">
      <alignment horizontal="left"/>
      <protection locked="0"/>
    </xf>
    <xf numFmtId="166" fontId="0" fillId="0" borderId="11" xfId="3" applyNumberFormat="1" applyFont="1" applyFill="1" applyBorder="1" applyAlignment="1" applyProtection="1">
      <alignment horizontal="left"/>
      <protection locked="0"/>
    </xf>
    <xf numFmtId="167" fontId="0" fillId="0" borderId="11" xfId="3" applyNumberFormat="1" applyFont="1" applyFill="1" applyBorder="1" applyAlignment="1" applyProtection="1">
      <alignment horizontal="left"/>
      <protection locked="0"/>
    </xf>
    <xf numFmtId="0" fontId="2" fillId="0" borderId="11" xfId="1" applyFill="1" applyBorder="1" applyAlignment="1" applyProtection="1">
      <alignment horizontal="left"/>
      <protection locked="0"/>
    </xf>
    <xf numFmtId="0" fontId="0" fillId="0" borderId="13" xfId="3" applyFont="1" applyFill="1" applyBorder="1" applyAlignment="1" applyProtection="1">
      <alignment horizontal="left"/>
      <protection locked="0"/>
    </xf>
    <xf numFmtId="0" fontId="0" fillId="7" borderId="14" xfId="0" applyFill="1" applyBorder="1" applyAlignment="1">
      <alignment horizontal="right"/>
    </xf>
    <xf numFmtId="0" fontId="0" fillId="0" borderId="15" xfId="3" applyFont="1" applyFill="1" applyBorder="1" applyAlignment="1" applyProtection="1">
      <alignment horizontal="left"/>
      <protection locked="0"/>
    </xf>
    <xf numFmtId="168" fontId="0" fillId="0" borderId="15" xfId="3" applyNumberFormat="1" applyFont="1" applyFill="1" applyBorder="1" applyAlignment="1" applyProtection="1">
      <alignment horizontal="left"/>
      <protection locked="0"/>
    </xf>
    <xf numFmtId="0" fontId="0" fillId="4" borderId="17" xfId="0" applyFont="1" applyFill="1" applyBorder="1" applyAlignment="1">
      <alignment horizontal="center" vertical="center" wrapText="1"/>
    </xf>
    <xf numFmtId="0" fontId="0" fillId="4" borderId="18" xfId="0" applyFont="1" applyFill="1" applyBorder="1" applyAlignment="1">
      <alignment horizontal="center" vertical="center" wrapText="1"/>
    </xf>
    <xf numFmtId="0" fontId="0" fillId="7" borderId="0" xfId="0" applyFill="1"/>
    <xf numFmtId="0" fontId="0" fillId="4" borderId="5" xfId="0" applyFont="1" applyFill="1" applyBorder="1" applyAlignment="1">
      <alignment horizontal="right" vertical="center" wrapText="1"/>
    </xf>
    <xf numFmtId="0" fontId="0" fillId="7" borderId="0" xfId="0" applyFill="1" applyAlignment="1">
      <alignment horizontal="right"/>
    </xf>
    <xf numFmtId="0" fontId="0" fillId="4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0" borderId="14" xfId="0" applyBorder="1" applyAlignment="1" applyProtection="1">
      <alignment horizontal="right"/>
      <protection locked="0"/>
    </xf>
    <xf numFmtId="168" fontId="0" fillId="0" borderId="15" xfId="0" applyNumberFormat="1" applyBorder="1" applyAlignment="1" applyProtection="1">
      <alignment horizontal="center"/>
      <protection locked="0"/>
    </xf>
    <xf numFmtId="168" fontId="0" fillId="0" borderId="5" xfId="0" applyNumberFormat="1" applyBorder="1" applyAlignment="1" applyProtection="1">
      <alignment horizontal="center" vertical="center" wrapText="1"/>
      <protection locked="0"/>
    </xf>
    <xf numFmtId="9" fontId="0" fillId="0" borderId="5" xfId="0" applyNumberFormat="1" applyBorder="1" applyAlignment="1" applyProtection="1">
      <alignment horizontal="center" vertical="center" wrapText="1"/>
      <protection locked="0"/>
    </xf>
    <xf numFmtId="6" fontId="0" fillId="0" borderId="5" xfId="0" applyNumberFormat="1" applyBorder="1" applyAlignment="1" applyProtection="1">
      <alignment horizontal="center" vertical="center" wrapText="1"/>
      <protection locked="0"/>
    </xf>
    <xf numFmtId="10" fontId="0" fillId="0" borderId="5" xfId="0" applyNumberFormat="1" applyBorder="1" applyAlignment="1" applyProtection="1">
      <alignment horizontal="center" vertical="center" wrapText="1"/>
      <protection locked="0"/>
    </xf>
    <xf numFmtId="8" fontId="0" fillId="0" borderId="5" xfId="0" applyNumberFormat="1" applyBorder="1" applyAlignment="1" applyProtection="1">
      <alignment horizontal="center" vertical="center" wrapText="1"/>
      <protection locked="0"/>
    </xf>
    <xf numFmtId="14" fontId="0" fillId="4" borderId="0" xfId="3" applyNumberFormat="1" applyFont="1" applyFill="1" applyBorder="1" applyAlignment="1" applyProtection="1">
      <alignment horizontal="center"/>
    </xf>
    <xf numFmtId="0" fontId="0" fillId="4" borderId="0" xfId="0" applyFill="1" applyAlignment="1" applyProtection="1">
      <alignment horizontal="center"/>
    </xf>
    <xf numFmtId="0" fontId="5" fillId="0" borderId="0" xfId="0" applyFont="1" applyAlignment="1" applyProtection="1">
      <alignment horizontal="center"/>
      <protection locked="0"/>
    </xf>
    <xf numFmtId="165" fontId="0" fillId="0" borderId="0" xfId="3" applyNumberFormat="1" applyFont="1" applyFill="1" applyBorder="1" applyAlignment="1" applyProtection="1">
      <alignment horizontal="left"/>
    </xf>
    <xf numFmtId="166" fontId="0" fillId="0" borderId="0" xfId="3" applyNumberFormat="1" applyFont="1" applyFill="1" applyBorder="1" applyAlignment="1" applyProtection="1">
      <alignment horizontal="left"/>
    </xf>
    <xf numFmtId="167" fontId="0" fillId="0" borderId="0" xfId="3" applyNumberFormat="1" applyFont="1" applyFill="1" applyBorder="1" applyAlignment="1" applyProtection="1">
      <alignment horizontal="left"/>
    </xf>
    <xf numFmtId="0" fontId="2" fillId="0" borderId="0" xfId="1" applyFill="1" applyBorder="1" applyAlignment="1" applyProtection="1">
      <alignment horizontal="left"/>
    </xf>
    <xf numFmtId="0" fontId="0" fillId="0" borderId="0" xfId="3" applyFont="1" applyFill="1" applyBorder="1" applyAlignment="1" applyProtection="1">
      <alignment horizontal="left"/>
    </xf>
    <xf numFmtId="0" fontId="0" fillId="0" borderId="5" xfId="0" applyBorder="1" applyAlignment="1" applyProtection="1">
      <alignment vertical="center" wrapText="1"/>
    </xf>
    <xf numFmtId="0" fontId="6" fillId="0" borderId="3" xfId="2" applyFont="1" applyBorder="1" applyAlignment="1">
      <alignment horizontal="left"/>
    </xf>
    <xf numFmtId="0" fontId="7" fillId="4" borderId="4" xfId="0" applyFont="1" applyFill="1" applyBorder="1" applyAlignment="1">
      <alignment horizontal="left" indent="3"/>
    </xf>
    <xf numFmtId="168" fontId="5" fillId="3" borderId="0" xfId="3" applyNumberFormat="1" applyFont="1" applyFill="1" applyBorder="1" applyAlignment="1">
      <alignment horizontal="center"/>
    </xf>
    <xf numFmtId="0" fontId="5" fillId="3" borderId="0" xfId="3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 vertical="center" wrapText="1"/>
    </xf>
    <xf numFmtId="0" fontId="5" fillId="3" borderId="0" xfId="3" applyFont="1" applyFill="1" applyBorder="1" applyAlignment="1" applyProtection="1">
      <alignment horizontal="center"/>
    </xf>
    <xf numFmtId="0" fontId="0" fillId="4" borderId="14" xfId="0" applyFont="1" applyFill="1" applyBorder="1" applyAlignment="1">
      <alignment horizontal="center" vertical="center" wrapText="1"/>
    </xf>
    <xf numFmtId="0" fontId="0" fillId="4" borderId="15" xfId="0" applyFont="1" applyFill="1" applyBorder="1" applyAlignment="1">
      <alignment horizontal="center" vertical="center" wrapText="1"/>
    </xf>
    <xf numFmtId="8" fontId="0" fillId="7" borderId="15" xfId="0" applyNumberFormat="1" applyFill="1" applyBorder="1" applyAlignment="1">
      <alignment vertical="center" wrapText="1"/>
    </xf>
    <xf numFmtId="10" fontId="0" fillId="7" borderId="15" xfId="0" applyNumberFormat="1" applyFill="1" applyBorder="1" applyAlignment="1">
      <alignment vertical="center" wrapText="1"/>
    </xf>
    <xf numFmtId="0" fontId="9" fillId="7" borderId="14" xfId="0" applyFont="1" applyFill="1" applyBorder="1" applyAlignment="1">
      <alignment horizontal="right" vertical="center" wrapText="1"/>
    </xf>
    <xf numFmtId="8" fontId="9" fillId="7" borderId="15" xfId="0" applyNumberFormat="1" applyFont="1" applyFill="1" applyBorder="1" applyAlignment="1">
      <alignment vertical="center" wrapText="1"/>
    </xf>
  </cellXfs>
  <cellStyles count="4">
    <cellStyle name="Hiperlink" xfId="1" builtinId="8"/>
    <cellStyle name="Normal" xfId="0" builtinId="0"/>
    <cellStyle name="Nota" xfId="3" builtinId="10"/>
    <cellStyle name="Título 1" xfId="2" builtinId="16"/>
  </cellStyles>
  <dxfs count="10">
    <dxf>
      <alignment horizontal="center" vertical="bottom" textRotation="0" wrapText="0" indent="0" justifyLastLine="0" shrinkToFit="0" readingOrder="0"/>
      <protection locked="0" hidden="0"/>
    </dxf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ill>
        <patternFill>
          <bgColor rgb="FFFFF9E1"/>
        </patternFill>
      </fill>
    </dxf>
    <dxf>
      <fill>
        <patternFill>
          <bgColor rgb="FFFFF1B8"/>
        </patternFill>
      </fill>
    </dxf>
    <dxf>
      <fill>
        <patternFill>
          <bgColor rgb="FFCC5500"/>
        </patternFill>
      </fill>
      <border>
        <bottom style="thick">
          <color theme="0"/>
        </bottom>
        <horizontal/>
      </border>
    </dxf>
    <dxf>
      <border>
        <left/>
        <right/>
        <vertical style="medium">
          <color theme="0"/>
        </vertical>
      </border>
    </dxf>
  </dxfs>
  <tableStyles count="1" defaultTableStyle="TableStyleMedium2" defaultPivotStyle="PivotStyleLight16">
    <tableStyle name="Estilo de Tabela 1" pivot="0" count="4">
      <tableStyleElement type="wholeTable" dxfId="9"/>
      <tableStyleElement type="headerRow" dxfId="8"/>
      <tableStyleElement type="firstRowStripe" dxfId="7"/>
      <tableStyleElement type="secondRowStripe" dxfId="6"/>
    </tableStyle>
  </tableStyles>
  <colors>
    <mruColors>
      <color rgb="FFFF8800"/>
      <color rgb="FFFFF1B8"/>
      <color rgb="FFFFF9E1"/>
      <color rgb="FFCC5500"/>
      <color rgb="FF1C1C1C"/>
      <color rgb="FF1D3557"/>
      <color rgb="FFFF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#SIMULA&#199;&#195;O!C1"/><Relationship Id="rId2" Type="http://schemas.openxmlformats.org/officeDocument/2006/relationships/hyperlink" Target="https://www.linkedin.com/in/thais-cabral-489182198/" TargetMode="External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#SIMULA&#199;&#195;O!C1"/><Relationship Id="rId2" Type="http://schemas.openxmlformats.org/officeDocument/2006/relationships/hyperlink" Target="https://www.linkedin.com/in/thais-cabral-489182198/" TargetMode="External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#SIMULA&#199;&#195;O!C1"/><Relationship Id="rId2" Type="http://schemas.openxmlformats.org/officeDocument/2006/relationships/hyperlink" Target="https://www.linkedin.com/in/thais-cabral-489182198/" TargetMode="External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#SIMULA&#199;&#195;O!C1"/><Relationship Id="rId2" Type="http://schemas.openxmlformats.org/officeDocument/2006/relationships/hyperlink" Target="https://www.linkedin.com/in/thais-cabral-489182198/" TargetMode="External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ES!C1"/><Relationship Id="rId4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213123</xdr:colOff>
      <xdr:row>0</xdr:row>
      <xdr:rowOff>133349</xdr:rowOff>
    </xdr:from>
    <xdr:to>
      <xdr:col>0</xdr:col>
      <xdr:colOff>1498998</xdr:colOff>
      <xdr:row>2</xdr:row>
      <xdr:rowOff>85724</xdr:rowOff>
    </xdr:to>
    <xdr:sp macro="" textlink="">
      <xdr:nvSpPr>
        <xdr:cNvPr id="4" name="Retângulo 3"/>
        <xdr:cNvSpPr/>
      </xdr:nvSpPr>
      <xdr:spPr>
        <a:xfrm>
          <a:off x="213123" y="133349"/>
          <a:ext cx="12858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n w="6350">
                <a:noFill/>
              </a:ln>
              <a:solidFill>
                <a:srgbClr val="FFCC33"/>
              </a:solidFill>
              <a:latin typeface="Arial Black" panose="020B0A04020102020204" pitchFamily="34" charset="0"/>
            </a:rPr>
            <a:t>FISCO APP</a:t>
          </a:r>
        </a:p>
      </xdr:txBody>
    </xdr:sp>
    <xdr:clientData/>
  </xdr:twoCellAnchor>
  <xdr:twoCellAnchor editAs="absolute">
    <xdr:from>
      <xdr:col>0</xdr:col>
      <xdr:colOff>198835</xdr:colOff>
      <xdr:row>19</xdr:row>
      <xdr:rowOff>104775</xdr:rowOff>
    </xdr:from>
    <xdr:to>
      <xdr:col>0</xdr:col>
      <xdr:colOff>1513286</xdr:colOff>
      <xdr:row>20</xdr:row>
      <xdr:rowOff>171450</xdr:rowOff>
    </xdr:to>
    <xdr:sp macro="" textlink="">
      <xdr:nvSpPr>
        <xdr:cNvPr id="8" name="Retângulo 7"/>
        <xdr:cNvSpPr/>
      </xdr:nvSpPr>
      <xdr:spPr>
        <a:xfrm>
          <a:off x="198835" y="3790950"/>
          <a:ext cx="1314451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SISTEM BY THAIS</a:t>
          </a:r>
          <a:r>
            <a:rPr lang="pt-BR" sz="1050" baseline="0"/>
            <a:t> </a:t>
          </a:r>
          <a:r>
            <a:rPr lang="pt-BR" sz="1050" baseline="0">
              <a:solidFill>
                <a:srgbClr val="FF8800"/>
              </a:solidFill>
            </a:rPr>
            <a:t>❤</a:t>
          </a:r>
          <a:r>
            <a:rPr lang="pt-BR" sz="1050"/>
            <a:t> </a:t>
          </a:r>
        </a:p>
      </xdr:txBody>
    </xdr:sp>
    <xdr:clientData/>
  </xdr:twoCellAnchor>
  <xdr:twoCellAnchor editAs="absolute">
    <xdr:from>
      <xdr:col>0</xdr:col>
      <xdr:colOff>198835</xdr:colOff>
      <xdr:row>18</xdr:row>
      <xdr:rowOff>85725</xdr:rowOff>
    </xdr:from>
    <xdr:to>
      <xdr:col>0</xdr:col>
      <xdr:colOff>1513285</xdr:colOff>
      <xdr:row>18</xdr:row>
      <xdr:rowOff>85725</xdr:rowOff>
    </xdr:to>
    <xdr:cxnSp macro="">
      <xdr:nvCxnSpPr>
        <xdr:cNvPr id="10" name="Conector reto 9"/>
        <xdr:cNvCxnSpPr/>
      </xdr:nvCxnSpPr>
      <xdr:spPr>
        <a:xfrm>
          <a:off x="198835" y="3581400"/>
          <a:ext cx="1314450" cy="0"/>
        </a:xfrm>
        <a:prstGeom prst="line">
          <a:avLst/>
        </a:prstGeom>
        <a:ln>
          <a:solidFill>
            <a:srgbClr val="FF8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341710</xdr:colOff>
      <xdr:row>2</xdr:row>
      <xdr:rowOff>142876</xdr:rowOff>
    </xdr:from>
    <xdr:to>
      <xdr:col>0</xdr:col>
      <xdr:colOff>1370410</xdr:colOff>
      <xdr:row>7</xdr:row>
      <xdr:rowOff>152401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710" y="523876"/>
          <a:ext cx="1028700" cy="1028700"/>
        </a:xfrm>
        <a:prstGeom prst="rect">
          <a:avLst/>
        </a:prstGeom>
      </xdr:spPr>
    </xdr:pic>
    <xdr:clientData/>
  </xdr:twoCellAnchor>
  <xdr:twoCellAnchor editAs="absolute">
    <xdr:from>
      <xdr:col>0</xdr:col>
      <xdr:colOff>660798</xdr:colOff>
      <xdr:row>21</xdr:row>
      <xdr:rowOff>114300</xdr:rowOff>
    </xdr:from>
    <xdr:to>
      <xdr:col>0</xdr:col>
      <xdr:colOff>1051323</xdr:colOff>
      <xdr:row>23</xdr:row>
      <xdr:rowOff>123825</xdr:rowOff>
    </xdr:to>
    <xdr:pic>
      <xdr:nvPicPr>
        <xdr:cNvPr id="13" name="Imagem 1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798" y="41814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198836</xdr:colOff>
      <xdr:row>8</xdr:row>
      <xdr:rowOff>180975</xdr:rowOff>
    </xdr:from>
    <xdr:to>
      <xdr:col>0</xdr:col>
      <xdr:colOff>1522811</xdr:colOff>
      <xdr:row>10</xdr:row>
      <xdr:rowOff>95250</xdr:rowOff>
    </xdr:to>
    <xdr:sp macro="" textlink="">
      <xdr:nvSpPr>
        <xdr:cNvPr id="14" name="Retângulo Arredondado 13">
          <a:hlinkClick xmlns:r="http://schemas.openxmlformats.org/officeDocument/2006/relationships" r:id="rId4"/>
        </xdr:cNvPr>
        <xdr:cNvSpPr/>
      </xdr:nvSpPr>
      <xdr:spPr>
        <a:xfrm>
          <a:off x="198836" y="1771650"/>
          <a:ext cx="1323975" cy="295275"/>
        </a:xfrm>
        <a:prstGeom prst="roundRect">
          <a:avLst>
            <a:gd name="adj" fmla="val 42473"/>
          </a:avLst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55000">
              <a:schemeClr val="accent4">
                <a:lumMod val="20000"/>
                <a:lumOff val="80000"/>
              </a:schemeClr>
            </a:gs>
            <a:gs pos="8000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1C1C1C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TITULAR</a:t>
          </a:r>
        </a:p>
      </xdr:txBody>
    </xdr:sp>
    <xdr:clientData/>
  </xdr:twoCellAnchor>
  <xdr:twoCellAnchor>
    <xdr:from>
      <xdr:col>2</xdr:col>
      <xdr:colOff>2733674</xdr:colOff>
      <xdr:row>19</xdr:row>
      <xdr:rowOff>152400</xdr:rowOff>
    </xdr:from>
    <xdr:to>
      <xdr:col>4</xdr:col>
      <xdr:colOff>38099</xdr:colOff>
      <xdr:row>21</xdr:row>
      <xdr:rowOff>19050</xdr:rowOff>
    </xdr:to>
    <xdr:sp macro="" textlink="">
      <xdr:nvSpPr>
        <xdr:cNvPr id="2" name="Retângulo 1">
          <a:hlinkClick xmlns:r="http://schemas.openxmlformats.org/officeDocument/2006/relationships" r:id="rId5"/>
        </xdr:cNvPr>
        <xdr:cNvSpPr/>
      </xdr:nvSpPr>
      <xdr:spPr>
        <a:xfrm>
          <a:off x="4676774" y="4029075"/>
          <a:ext cx="2771775" cy="247650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0</xdr:col>
      <xdr:colOff>198836</xdr:colOff>
      <xdr:row>11</xdr:row>
      <xdr:rowOff>47625</xdr:rowOff>
    </xdr:from>
    <xdr:to>
      <xdr:col>0</xdr:col>
      <xdr:colOff>1522811</xdr:colOff>
      <xdr:row>12</xdr:row>
      <xdr:rowOff>152400</xdr:rowOff>
    </xdr:to>
    <xdr:sp macro="" textlink="">
      <xdr:nvSpPr>
        <xdr:cNvPr id="15" name="Retângulo Arredondado 14">
          <a:hlinkClick xmlns:r="http://schemas.openxmlformats.org/officeDocument/2006/relationships" r:id="rId5"/>
        </xdr:cNvPr>
        <xdr:cNvSpPr/>
      </xdr:nvSpPr>
      <xdr:spPr>
        <a:xfrm>
          <a:off x="198836" y="220980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198836</xdr:colOff>
      <xdr:row>13</xdr:row>
      <xdr:rowOff>76200</xdr:rowOff>
    </xdr:from>
    <xdr:to>
      <xdr:col>0</xdr:col>
      <xdr:colOff>1522811</xdr:colOff>
      <xdr:row>14</xdr:row>
      <xdr:rowOff>180975</xdr:rowOff>
    </xdr:to>
    <xdr:sp macro="" textlink="">
      <xdr:nvSpPr>
        <xdr:cNvPr id="16" name="Retângulo Arredondado 15">
          <a:hlinkClick xmlns:r="http://schemas.openxmlformats.org/officeDocument/2006/relationships" r:id="rId6"/>
        </xdr:cNvPr>
        <xdr:cNvSpPr/>
      </xdr:nvSpPr>
      <xdr:spPr>
        <a:xfrm>
          <a:off x="198836" y="2619375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198836</xdr:colOff>
      <xdr:row>15</xdr:row>
      <xdr:rowOff>123825</xdr:rowOff>
    </xdr:from>
    <xdr:to>
      <xdr:col>0</xdr:col>
      <xdr:colOff>1522811</xdr:colOff>
      <xdr:row>17</xdr:row>
      <xdr:rowOff>38100</xdr:rowOff>
    </xdr:to>
    <xdr:sp macro="" textlink="">
      <xdr:nvSpPr>
        <xdr:cNvPr id="17" name="Retângulo Arredondado 16">
          <a:hlinkClick xmlns:r="http://schemas.openxmlformats.org/officeDocument/2006/relationships" r:id="rId7"/>
        </xdr:cNvPr>
        <xdr:cNvSpPr/>
      </xdr:nvSpPr>
      <xdr:spPr>
        <a:xfrm>
          <a:off x="198836" y="304800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SIMULAÇÃO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213123</xdr:colOff>
      <xdr:row>0</xdr:row>
      <xdr:rowOff>133349</xdr:rowOff>
    </xdr:from>
    <xdr:to>
      <xdr:col>0</xdr:col>
      <xdr:colOff>1498998</xdr:colOff>
      <xdr:row>2</xdr:row>
      <xdr:rowOff>85724</xdr:rowOff>
    </xdr:to>
    <xdr:sp macro="" textlink="">
      <xdr:nvSpPr>
        <xdr:cNvPr id="2" name="Retângulo 1"/>
        <xdr:cNvSpPr/>
      </xdr:nvSpPr>
      <xdr:spPr>
        <a:xfrm>
          <a:off x="213123" y="133349"/>
          <a:ext cx="12858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n w="6350">
                <a:noFill/>
              </a:ln>
              <a:solidFill>
                <a:srgbClr val="FFCC33"/>
              </a:solidFill>
              <a:latin typeface="Arial Black" panose="020B0A04020102020204" pitchFamily="34" charset="0"/>
            </a:rPr>
            <a:t>FISCO APP</a:t>
          </a:r>
        </a:p>
      </xdr:txBody>
    </xdr:sp>
    <xdr:clientData/>
  </xdr:twoCellAnchor>
  <xdr:twoCellAnchor editAs="absolute">
    <xdr:from>
      <xdr:col>0</xdr:col>
      <xdr:colOff>198835</xdr:colOff>
      <xdr:row>19</xdr:row>
      <xdr:rowOff>104775</xdr:rowOff>
    </xdr:from>
    <xdr:to>
      <xdr:col>0</xdr:col>
      <xdr:colOff>1513286</xdr:colOff>
      <xdr:row>20</xdr:row>
      <xdr:rowOff>171450</xdr:rowOff>
    </xdr:to>
    <xdr:sp macro="" textlink="">
      <xdr:nvSpPr>
        <xdr:cNvPr id="3" name="Retângulo 2"/>
        <xdr:cNvSpPr/>
      </xdr:nvSpPr>
      <xdr:spPr>
        <a:xfrm>
          <a:off x="198835" y="3790950"/>
          <a:ext cx="1314451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SISTEM BY THAIS</a:t>
          </a:r>
          <a:r>
            <a:rPr lang="pt-BR" sz="1050" baseline="0"/>
            <a:t> </a:t>
          </a:r>
          <a:r>
            <a:rPr lang="pt-BR" sz="1050" baseline="0">
              <a:solidFill>
                <a:srgbClr val="FF8800"/>
              </a:solidFill>
            </a:rPr>
            <a:t>❤</a:t>
          </a:r>
          <a:r>
            <a:rPr lang="pt-BR" sz="1050"/>
            <a:t> </a:t>
          </a:r>
        </a:p>
      </xdr:txBody>
    </xdr:sp>
    <xdr:clientData/>
  </xdr:twoCellAnchor>
  <xdr:twoCellAnchor editAs="absolute">
    <xdr:from>
      <xdr:col>0</xdr:col>
      <xdr:colOff>198835</xdr:colOff>
      <xdr:row>18</xdr:row>
      <xdr:rowOff>85725</xdr:rowOff>
    </xdr:from>
    <xdr:to>
      <xdr:col>0</xdr:col>
      <xdr:colOff>1513285</xdr:colOff>
      <xdr:row>18</xdr:row>
      <xdr:rowOff>85725</xdr:rowOff>
    </xdr:to>
    <xdr:cxnSp macro="">
      <xdr:nvCxnSpPr>
        <xdr:cNvPr id="4" name="Conector reto 3"/>
        <xdr:cNvCxnSpPr/>
      </xdr:nvCxnSpPr>
      <xdr:spPr>
        <a:xfrm>
          <a:off x="198835" y="3581400"/>
          <a:ext cx="1314450" cy="0"/>
        </a:xfrm>
        <a:prstGeom prst="line">
          <a:avLst/>
        </a:prstGeom>
        <a:ln>
          <a:solidFill>
            <a:srgbClr val="FF8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341710</xdr:colOff>
      <xdr:row>2</xdr:row>
      <xdr:rowOff>142876</xdr:rowOff>
    </xdr:from>
    <xdr:to>
      <xdr:col>0</xdr:col>
      <xdr:colOff>1370410</xdr:colOff>
      <xdr:row>7</xdr:row>
      <xdr:rowOff>152401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710" y="523876"/>
          <a:ext cx="1028700" cy="1028700"/>
        </a:xfrm>
        <a:prstGeom prst="rect">
          <a:avLst/>
        </a:prstGeom>
      </xdr:spPr>
    </xdr:pic>
    <xdr:clientData/>
  </xdr:twoCellAnchor>
  <xdr:twoCellAnchor editAs="absolute">
    <xdr:from>
      <xdr:col>0</xdr:col>
      <xdr:colOff>660798</xdr:colOff>
      <xdr:row>21</xdr:row>
      <xdr:rowOff>114300</xdr:rowOff>
    </xdr:from>
    <xdr:to>
      <xdr:col>0</xdr:col>
      <xdr:colOff>1051323</xdr:colOff>
      <xdr:row>23</xdr:row>
      <xdr:rowOff>123825</xdr:rowOff>
    </xdr:to>
    <xdr:pic>
      <xdr:nvPicPr>
        <xdr:cNvPr id="6" name="Imagem 5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798" y="41814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198836</xdr:colOff>
      <xdr:row>8</xdr:row>
      <xdr:rowOff>180975</xdr:rowOff>
    </xdr:from>
    <xdr:to>
      <xdr:col>0</xdr:col>
      <xdr:colOff>1522811</xdr:colOff>
      <xdr:row>10</xdr:row>
      <xdr:rowOff>95250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198836" y="177165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198836</xdr:colOff>
      <xdr:row>11</xdr:row>
      <xdr:rowOff>47625</xdr:rowOff>
    </xdr:from>
    <xdr:to>
      <xdr:col>0</xdr:col>
      <xdr:colOff>1522811</xdr:colOff>
      <xdr:row>12</xdr:row>
      <xdr:rowOff>152400</xdr:rowOff>
    </xdr:to>
    <xdr:sp macro="" textlink="">
      <xdr:nvSpPr>
        <xdr:cNvPr id="9" name="Retângulo Arredondado 8">
          <a:hlinkClick xmlns:r="http://schemas.openxmlformats.org/officeDocument/2006/relationships" r:id="rId5"/>
        </xdr:cNvPr>
        <xdr:cNvSpPr/>
      </xdr:nvSpPr>
      <xdr:spPr>
        <a:xfrm>
          <a:off x="198836" y="2209800"/>
          <a:ext cx="1323975" cy="295275"/>
        </a:xfrm>
        <a:prstGeom prst="roundRect">
          <a:avLst>
            <a:gd name="adj" fmla="val 42473"/>
          </a:avLst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55000">
              <a:schemeClr val="accent4">
                <a:lumMod val="20000"/>
                <a:lumOff val="80000"/>
              </a:schemeClr>
            </a:gs>
            <a:gs pos="8000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1C1C1C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198836</xdr:colOff>
      <xdr:row>13</xdr:row>
      <xdr:rowOff>76200</xdr:rowOff>
    </xdr:from>
    <xdr:to>
      <xdr:col>0</xdr:col>
      <xdr:colOff>1522811</xdr:colOff>
      <xdr:row>14</xdr:row>
      <xdr:rowOff>180975</xdr:rowOff>
    </xdr:to>
    <xdr:sp macro="" textlink="">
      <xdr:nvSpPr>
        <xdr:cNvPr id="10" name="Retângulo Arredondado 9">
          <a:hlinkClick xmlns:r="http://schemas.openxmlformats.org/officeDocument/2006/relationships" r:id="rId6"/>
        </xdr:cNvPr>
        <xdr:cNvSpPr/>
      </xdr:nvSpPr>
      <xdr:spPr>
        <a:xfrm>
          <a:off x="198836" y="2619375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198836</xdr:colOff>
      <xdr:row>15</xdr:row>
      <xdr:rowOff>123825</xdr:rowOff>
    </xdr:from>
    <xdr:to>
      <xdr:col>0</xdr:col>
      <xdr:colOff>1522811</xdr:colOff>
      <xdr:row>17</xdr:row>
      <xdr:rowOff>38100</xdr:rowOff>
    </xdr:to>
    <xdr:sp macro="" textlink="">
      <xdr:nvSpPr>
        <xdr:cNvPr id="11" name="Retângulo Arredondado 10">
          <a:hlinkClick xmlns:r="http://schemas.openxmlformats.org/officeDocument/2006/relationships" r:id="rId7"/>
        </xdr:cNvPr>
        <xdr:cNvSpPr/>
      </xdr:nvSpPr>
      <xdr:spPr>
        <a:xfrm>
          <a:off x="198836" y="304800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SIMULAÇÃO</a:t>
          </a:r>
        </a:p>
      </xdr:txBody>
    </xdr:sp>
    <xdr:clientData/>
  </xdr:twoCellAnchor>
  <xdr:twoCellAnchor>
    <xdr:from>
      <xdr:col>2</xdr:col>
      <xdr:colOff>1</xdr:colOff>
      <xdr:row>28</xdr:row>
      <xdr:rowOff>0</xdr:rowOff>
    </xdr:from>
    <xdr:to>
      <xdr:col>2</xdr:col>
      <xdr:colOff>2705101</xdr:colOff>
      <xdr:row>29</xdr:row>
      <xdr:rowOff>57150</xdr:rowOff>
    </xdr:to>
    <xdr:sp macro="" textlink="">
      <xdr:nvSpPr>
        <xdr:cNvPr id="12" name="Retângulo 11">
          <a:hlinkClick xmlns:r="http://schemas.openxmlformats.org/officeDocument/2006/relationships" r:id="rId4"/>
        </xdr:cNvPr>
        <xdr:cNvSpPr/>
      </xdr:nvSpPr>
      <xdr:spPr>
        <a:xfrm>
          <a:off x="1943101" y="5419725"/>
          <a:ext cx="2705100" cy="247650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>
    <xdr:from>
      <xdr:col>3</xdr:col>
      <xdr:colOff>47625</xdr:colOff>
      <xdr:row>28</xdr:row>
      <xdr:rowOff>0</xdr:rowOff>
    </xdr:from>
    <xdr:to>
      <xdr:col>4</xdr:col>
      <xdr:colOff>38100</xdr:colOff>
      <xdr:row>29</xdr:row>
      <xdr:rowOff>57150</xdr:rowOff>
    </xdr:to>
    <xdr:sp macro="" textlink="">
      <xdr:nvSpPr>
        <xdr:cNvPr id="13" name="Retângulo 12">
          <a:hlinkClick xmlns:r="http://schemas.openxmlformats.org/officeDocument/2006/relationships" r:id="rId6"/>
        </xdr:cNvPr>
        <xdr:cNvSpPr/>
      </xdr:nvSpPr>
      <xdr:spPr>
        <a:xfrm>
          <a:off x="4724400" y="5419725"/>
          <a:ext cx="2971800" cy="247650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213123</xdr:colOff>
      <xdr:row>0</xdr:row>
      <xdr:rowOff>133349</xdr:rowOff>
    </xdr:from>
    <xdr:to>
      <xdr:col>0</xdr:col>
      <xdr:colOff>1498998</xdr:colOff>
      <xdr:row>2</xdr:row>
      <xdr:rowOff>85724</xdr:rowOff>
    </xdr:to>
    <xdr:sp macro="" textlink="">
      <xdr:nvSpPr>
        <xdr:cNvPr id="2" name="Retângulo 1"/>
        <xdr:cNvSpPr/>
      </xdr:nvSpPr>
      <xdr:spPr>
        <a:xfrm>
          <a:off x="213123" y="133349"/>
          <a:ext cx="12858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n w="6350">
                <a:noFill/>
              </a:ln>
              <a:solidFill>
                <a:srgbClr val="FFCC33"/>
              </a:solidFill>
              <a:latin typeface="Arial Black" panose="020B0A04020102020204" pitchFamily="34" charset="0"/>
            </a:rPr>
            <a:t>FISCO APP</a:t>
          </a:r>
        </a:p>
      </xdr:txBody>
    </xdr:sp>
    <xdr:clientData/>
  </xdr:twoCellAnchor>
  <xdr:twoCellAnchor editAs="absolute">
    <xdr:from>
      <xdr:col>0</xdr:col>
      <xdr:colOff>198835</xdr:colOff>
      <xdr:row>19</xdr:row>
      <xdr:rowOff>104775</xdr:rowOff>
    </xdr:from>
    <xdr:to>
      <xdr:col>0</xdr:col>
      <xdr:colOff>1513286</xdr:colOff>
      <xdr:row>20</xdr:row>
      <xdr:rowOff>171450</xdr:rowOff>
    </xdr:to>
    <xdr:sp macro="" textlink="">
      <xdr:nvSpPr>
        <xdr:cNvPr id="3" name="Retângulo 2"/>
        <xdr:cNvSpPr/>
      </xdr:nvSpPr>
      <xdr:spPr>
        <a:xfrm>
          <a:off x="198835" y="3790950"/>
          <a:ext cx="1314451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SISTEM BY THAIS</a:t>
          </a:r>
          <a:r>
            <a:rPr lang="pt-BR" sz="1050" baseline="0"/>
            <a:t> </a:t>
          </a:r>
          <a:r>
            <a:rPr lang="pt-BR" sz="1050" baseline="0">
              <a:solidFill>
                <a:srgbClr val="FF8800"/>
              </a:solidFill>
            </a:rPr>
            <a:t>❤</a:t>
          </a:r>
          <a:r>
            <a:rPr lang="pt-BR" sz="1050"/>
            <a:t> </a:t>
          </a:r>
        </a:p>
      </xdr:txBody>
    </xdr:sp>
    <xdr:clientData/>
  </xdr:twoCellAnchor>
  <xdr:twoCellAnchor editAs="absolute">
    <xdr:from>
      <xdr:col>0</xdr:col>
      <xdr:colOff>198835</xdr:colOff>
      <xdr:row>18</xdr:row>
      <xdr:rowOff>85725</xdr:rowOff>
    </xdr:from>
    <xdr:to>
      <xdr:col>0</xdr:col>
      <xdr:colOff>1513285</xdr:colOff>
      <xdr:row>18</xdr:row>
      <xdr:rowOff>85725</xdr:rowOff>
    </xdr:to>
    <xdr:cxnSp macro="">
      <xdr:nvCxnSpPr>
        <xdr:cNvPr id="4" name="Conector reto 3"/>
        <xdr:cNvCxnSpPr/>
      </xdr:nvCxnSpPr>
      <xdr:spPr>
        <a:xfrm>
          <a:off x="198835" y="3581400"/>
          <a:ext cx="1314450" cy="0"/>
        </a:xfrm>
        <a:prstGeom prst="line">
          <a:avLst/>
        </a:prstGeom>
        <a:ln>
          <a:solidFill>
            <a:srgbClr val="FF8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341710</xdr:colOff>
      <xdr:row>2</xdr:row>
      <xdr:rowOff>142876</xdr:rowOff>
    </xdr:from>
    <xdr:to>
      <xdr:col>0</xdr:col>
      <xdr:colOff>1370410</xdr:colOff>
      <xdr:row>7</xdr:row>
      <xdr:rowOff>152401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710" y="523876"/>
          <a:ext cx="1028700" cy="1028700"/>
        </a:xfrm>
        <a:prstGeom prst="rect">
          <a:avLst/>
        </a:prstGeom>
      </xdr:spPr>
    </xdr:pic>
    <xdr:clientData/>
  </xdr:twoCellAnchor>
  <xdr:twoCellAnchor editAs="absolute">
    <xdr:from>
      <xdr:col>0</xdr:col>
      <xdr:colOff>660798</xdr:colOff>
      <xdr:row>21</xdr:row>
      <xdr:rowOff>114300</xdr:rowOff>
    </xdr:from>
    <xdr:to>
      <xdr:col>0</xdr:col>
      <xdr:colOff>1051323</xdr:colOff>
      <xdr:row>23</xdr:row>
      <xdr:rowOff>123825</xdr:rowOff>
    </xdr:to>
    <xdr:pic>
      <xdr:nvPicPr>
        <xdr:cNvPr id="6" name="Imagem 5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798" y="41814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198836</xdr:colOff>
      <xdr:row>8</xdr:row>
      <xdr:rowOff>180975</xdr:rowOff>
    </xdr:from>
    <xdr:to>
      <xdr:col>0</xdr:col>
      <xdr:colOff>1522811</xdr:colOff>
      <xdr:row>10</xdr:row>
      <xdr:rowOff>95250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198836" y="177165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198836</xdr:colOff>
      <xdr:row>11</xdr:row>
      <xdr:rowOff>47625</xdr:rowOff>
    </xdr:from>
    <xdr:to>
      <xdr:col>0</xdr:col>
      <xdr:colOff>1522811</xdr:colOff>
      <xdr:row>12</xdr:row>
      <xdr:rowOff>152400</xdr:rowOff>
    </xdr:to>
    <xdr:sp macro="" textlink="">
      <xdr:nvSpPr>
        <xdr:cNvPr id="9" name="Retângulo Arredondado 8">
          <a:hlinkClick xmlns:r="http://schemas.openxmlformats.org/officeDocument/2006/relationships" r:id="rId5"/>
        </xdr:cNvPr>
        <xdr:cNvSpPr/>
      </xdr:nvSpPr>
      <xdr:spPr>
        <a:xfrm>
          <a:off x="198836" y="220980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198836</xdr:colOff>
      <xdr:row>13</xdr:row>
      <xdr:rowOff>76200</xdr:rowOff>
    </xdr:from>
    <xdr:to>
      <xdr:col>0</xdr:col>
      <xdr:colOff>1522811</xdr:colOff>
      <xdr:row>14</xdr:row>
      <xdr:rowOff>180975</xdr:rowOff>
    </xdr:to>
    <xdr:sp macro="" textlink="">
      <xdr:nvSpPr>
        <xdr:cNvPr id="10" name="Retângulo Arredondado 9">
          <a:hlinkClick xmlns:r="http://schemas.openxmlformats.org/officeDocument/2006/relationships" r:id="rId6"/>
        </xdr:cNvPr>
        <xdr:cNvSpPr/>
      </xdr:nvSpPr>
      <xdr:spPr>
        <a:xfrm>
          <a:off x="198836" y="2619375"/>
          <a:ext cx="1323975" cy="295275"/>
        </a:xfrm>
        <a:prstGeom prst="roundRect">
          <a:avLst>
            <a:gd name="adj" fmla="val 42473"/>
          </a:avLst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55000">
              <a:schemeClr val="accent4">
                <a:lumMod val="20000"/>
                <a:lumOff val="80000"/>
              </a:schemeClr>
            </a:gs>
            <a:gs pos="8000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1C1C1C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198836</xdr:colOff>
      <xdr:row>15</xdr:row>
      <xdr:rowOff>123825</xdr:rowOff>
    </xdr:from>
    <xdr:to>
      <xdr:col>0</xdr:col>
      <xdr:colOff>1522811</xdr:colOff>
      <xdr:row>17</xdr:row>
      <xdr:rowOff>38100</xdr:rowOff>
    </xdr:to>
    <xdr:sp macro="" textlink="">
      <xdr:nvSpPr>
        <xdr:cNvPr id="11" name="Retângulo Arredondado 10">
          <a:hlinkClick xmlns:r="http://schemas.openxmlformats.org/officeDocument/2006/relationships" r:id="rId7"/>
        </xdr:cNvPr>
        <xdr:cNvSpPr/>
      </xdr:nvSpPr>
      <xdr:spPr>
        <a:xfrm>
          <a:off x="198836" y="304800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SIMULAÇÃO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57150</xdr:rowOff>
    </xdr:to>
    <xdr:sp macro="" textlink="">
      <xdr:nvSpPr>
        <xdr:cNvPr id="12" name="Retângulo 11">
          <a:hlinkClick xmlns:r="http://schemas.openxmlformats.org/officeDocument/2006/relationships" r:id="rId5"/>
        </xdr:cNvPr>
        <xdr:cNvSpPr/>
      </xdr:nvSpPr>
      <xdr:spPr>
        <a:xfrm>
          <a:off x="1943100" y="1209675"/>
          <a:ext cx="1914525" cy="247650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6</xdr:col>
      <xdr:colOff>0</xdr:colOff>
      <xdr:row>6</xdr:row>
      <xdr:rowOff>57150</xdr:rowOff>
    </xdr:to>
    <xdr:sp macro="" textlink="">
      <xdr:nvSpPr>
        <xdr:cNvPr id="13" name="Retângulo 12">
          <a:hlinkClick xmlns:r="http://schemas.openxmlformats.org/officeDocument/2006/relationships" r:id="rId7"/>
        </xdr:cNvPr>
        <xdr:cNvSpPr/>
      </xdr:nvSpPr>
      <xdr:spPr>
        <a:xfrm>
          <a:off x="6886575" y="1209675"/>
          <a:ext cx="1647825" cy="247650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213123</xdr:colOff>
      <xdr:row>0</xdr:row>
      <xdr:rowOff>133349</xdr:rowOff>
    </xdr:from>
    <xdr:to>
      <xdr:col>0</xdr:col>
      <xdr:colOff>1498998</xdr:colOff>
      <xdr:row>2</xdr:row>
      <xdr:rowOff>85724</xdr:rowOff>
    </xdr:to>
    <xdr:sp macro="" textlink="">
      <xdr:nvSpPr>
        <xdr:cNvPr id="2" name="Retângulo 1"/>
        <xdr:cNvSpPr/>
      </xdr:nvSpPr>
      <xdr:spPr>
        <a:xfrm>
          <a:off x="213123" y="133349"/>
          <a:ext cx="12858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n w="6350">
                <a:noFill/>
              </a:ln>
              <a:solidFill>
                <a:srgbClr val="FFCC33"/>
              </a:solidFill>
              <a:latin typeface="Arial Black" panose="020B0A04020102020204" pitchFamily="34" charset="0"/>
            </a:rPr>
            <a:t>FISCO APP</a:t>
          </a:r>
        </a:p>
      </xdr:txBody>
    </xdr:sp>
    <xdr:clientData/>
  </xdr:twoCellAnchor>
  <xdr:twoCellAnchor editAs="absolute">
    <xdr:from>
      <xdr:col>0</xdr:col>
      <xdr:colOff>198835</xdr:colOff>
      <xdr:row>19</xdr:row>
      <xdr:rowOff>104775</xdr:rowOff>
    </xdr:from>
    <xdr:to>
      <xdr:col>0</xdr:col>
      <xdr:colOff>1513286</xdr:colOff>
      <xdr:row>20</xdr:row>
      <xdr:rowOff>171450</xdr:rowOff>
    </xdr:to>
    <xdr:sp macro="" textlink="">
      <xdr:nvSpPr>
        <xdr:cNvPr id="3" name="Retângulo 2"/>
        <xdr:cNvSpPr/>
      </xdr:nvSpPr>
      <xdr:spPr>
        <a:xfrm>
          <a:off x="198835" y="3790950"/>
          <a:ext cx="1314451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SISTEM BY THAIS</a:t>
          </a:r>
          <a:r>
            <a:rPr lang="pt-BR" sz="1050" baseline="0"/>
            <a:t> </a:t>
          </a:r>
          <a:r>
            <a:rPr lang="pt-BR" sz="1050" baseline="0">
              <a:solidFill>
                <a:srgbClr val="FF8800"/>
              </a:solidFill>
            </a:rPr>
            <a:t>❤</a:t>
          </a:r>
          <a:r>
            <a:rPr lang="pt-BR" sz="1050"/>
            <a:t> </a:t>
          </a:r>
        </a:p>
      </xdr:txBody>
    </xdr:sp>
    <xdr:clientData/>
  </xdr:twoCellAnchor>
  <xdr:twoCellAnchor editAs="absolute">
    <xdr:from>
      <xdr:col>0</xdr:col>
      <xdr:colOff>198835</xdr:colOff>
      <xdr:row>18</xdr:row>
      <xdr:rowOff>85725</xdr:rowOff>
    </xdr:from>
    <xdr:to>
      <xdr:col>0</xdr:col>
      <xdr:colOff>1513285</xdr:colOff>
      <xdr:row>18</xdr:row>
      <xdr:rowOff>85725</xdr:rowOff>
    </xdr:to>
    <xdr:cxnSp macro="">
      <xdr:nvCxnSpPr>
        <xdr:cNvPr id="4" name="Conector reto 3"/>
        <xdr:cNvCxnSpPr/>
      </xdr:nvCxnSpPr>
      <xdr:spPr>
        <a:xfrm>
          <a:off x="198835" y="3581400"/>
          <a:ext cx="1314450" cy="0"/>
        </a:xfrm>
        <a:prstGeom prst="line">
          <a:avLst/>
        </a:prstGeom>
        <a:ln>
          <a:solidFill>
            <a:srgbClr val="FF88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341710</xdr:colOff>
      <xdr:row>2</xdr:row>
      <xdr:rowOff>142876</xdr:rowOff>
    </xdr:from>
    <xdr:to>
      <xdr:col>0</xdr:col>
      <xdr:colOff>1370410</xdr:colOff>
      <xdr:row>7</xdr:row>
      <xdr:rowOff>152401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710" y="523876"/>
          <a:ext cx="1028700" cy="1028700"/>
        </a:xfrm>
        <a:prstGeom prst="rect">
          <a:avLst/>
        </a:prstGeom>
      </xdr:spPr>
    </xdr:pic>
    <xdr:clientData/>
  </xdr:twoCellAnchor>
  <xdr:twoCellAnchor editAs="absolute">
    <xdr:from>
      <xdr:col>0</xdr:col>
      <xdr:colOff>660798</xdr:colOff>
      <xdr:row>21</xdr:row>
      <xdr:rowOff>104775</xdr:rowOff>
    </xdr:from>
    <xdr:to>
      <xdr:col>0</xdr:col>
      <xdr:colOff>1051323</xdr:colOff>
      <xdr:row>23</xdr:row>
      <xdr:rowOff>114300</xdr:rowOff>
    </xdr:to>
    <xdr:pic>
      <xdr:nvPicPr>
        <xdr:cNvPr id="6" name="Imagem 5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798" y="41814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198836</xdr:colOff>
      <xdr:row>8</xdr:row>
      <xdr:rowOff>180975</xdr:rowOff>
    </xdr:from>
    <xdr:to>
      <xdr:col>0</xdr:col>
      <xdr:colOff>1522811</xdr:colOff>
      <xdr:row>10</xdr:row>
      <xdr:rowOff>95250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198836" y="177165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198836</xdr:colOff>
      <xdr:row>11</xdr:row>
      <xdr:rowOff>47625</xdr:rowOff>
    </xdr:from>
    <xdr:to>
      <xdr:col>0</xdr:col>
      <xdr:colOff>1522811</xdr:colOff>
      <xdr:row>12</xdr:row>
      <xdr:rowOff>152400</xdr:rowOff>
    </xdr:to>
    <xdr:sp macro="" textlink="">
      <xdr:nvSpPr>
        <xdr:cNvPr id="9" name="Retângulo Arredondado 8">
          <a:hlinkClick xmlns:r="http://schemas.openxmlformats.org/officeDocument/2006/relationships" r:id="rId5"/>
        </xdr:cNvPr>
        <xdr:cNvSpPr/>
      </xdr:nvSpPr>
      <xdr:spPr>
        <a:xfrm>
          <a:off x="198836" y="2209800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198836</xdr:colOff>
      <xdr:row>13</xdr:row>
      <xdr:rowOff>76200</xdr:rowOff>
    </xdr:from>
    <xdr:to>
      <xdr:col>0</xdr:col>
      <xdr:colOff>1522811</xdr:colOff>
      <xdr:row>14</xdr:row>
      <xdr:rowOff>180975</xdr:rowOff>
    </xdr:to>
    <xdr:sp macro="" textlink="">
      <xdr:nvSpPr>
        <xdr:cNvPr id="10" name="Retângulo Arredondado 9">
          <a:hlinkClick xmlns:r="http://schemas.openxmlformats.org/officeDocument/2006/relationships" r:id="rId6"/>
        </xdr:cNvPr>
        <xdr:cNvSpPr/>
      </xdr:nvSpPr>
      <xdr:spPr>
        <a:xfrm>
          <a:off x="198836" y="2619375"/>
          <a:ext cx="1323975" cy="295275"/>
        </a:xfrm>
        <a:prstGeom prst="roundRect">
          <a:avLst>
            <a:gd name="adj" fmla="val 42473"/>
          </a:avLst>
        </a:prstGeom>
        <a:noFill/>
        <a:ln>
          <a:solidFill>
            <a:srgbClr val="FFF1B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FFF1B8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198836</xdr:colOff>
      <xdr:row>15</xdr:row>
      <xdr:rowOff>123825</xdr:rowOff>
    </xdr:from>
    <xdr:to>
      <xdr:col>0</xdr:col>
      <xdr:colOff>1522811</xdr:colOff>
      <xdr:row>17</xdr:row>
      <xdr:rowOff>38100</xdr:rowOff>
    </xdr:to>
    <xdr:sp macro="" textlink="">
      <xdr:nvSpPr>
        <xdr:cNvPr id="11" name="Retângulo Arredondado 10">
          <a:hlinkClick xmlns:r="http://schemas.openxmlformats.org/officeDocument/2006/relationships" r:id="rId7"/>
        </xdr:cNvPr>
        <xdr:cNvSpPr/>
      </xdr:nvSpPr>
      <xdr:spPr>
        <a:xfrm>
          <a:off x="198836" y="3048000"/>
          <a:ext cx="1323975" cy="295275"/>
        </a:xfrm>
        <a:prstGeom prst="roundRect">
          <a:avLst>
            <a:gd name="adj" fmla="val 42473"/>
          </a:avLst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55000">
              <a:schemeClr val="accent4">
                <a:lumMod val="20000"/>
                <a:lumOff val="80000"/>
              </a:schemeClr>
            </a:gs>
            <a:gs pos="8000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>
              <a:solidFill>
                <a:srgbClr val="1C1C1C"/>
              </a:solidFill>
              <a:latin typeface="Segoe UI Semilight" panose="020B0402040204020203" pitchFamily="34" charset="0"/>
              <a:ea typeface="Verdana" panose="020B0604030504040204" pitchFamily="34" charset="0"/>
              <a:cs typeface="Segoe UI Semilight" panose="020B0402040204020203" pitchFamily="34" charset="0"/>
            </a:rPr>
            <a:t>SIMULAÇÃO</a:t>
          </a:r>
        </a:p>
      </xdr:txBody>
    </xdr:sp>
    <xdr:clientData/>
  </xdr:twoCellAnchor>
  <xdr:twoCellAnchor>
    <xdr:from>
      <xdr:col>2</xdr:col>
      <xdr:colOff>0</xdr:colOff>
      <xdr:row>32</xdr:row>
      <xdr:rowOff>0</xdr:rowOff>
    </xdr:from>
    <xdr:to>
      <xdr:col>3</xdr:col>
      <xdr:colOff>866775</xdr:colOff>
      <xdr:row>33</xdr:row>
      <xdr:rowOff>57150</xdr:rowOff>
    </xdr:to>
    <xdr:sp macro="" textlink="">
      <xdr:nvSpPr>
        <xdr:cNvPr id="12" name="Retângulo 11">
          <a:hlinkClick xmlns:r="http://schemas.openxmlformats.org/officeDocument/2006/relationships" r:id="rId6"/>
        </xdr:cNvPr>
        <xdr:cNvSpPr/>
      </xdr:nvSpPr>
      <xdr:spPr>
        <a:xfrm>
          <a:off x="1943100" y="6353175"/>
          <a:ext cx="2705100" cy="247650"/>
        </a:xfrm>
        <a:prstGeom prst="rect">
          <a:avLst/>
        </a:prstGeom>
        <a:solidFill>
          <a:srgbClr val="CC55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13" displayName="Tabela13" ref="C9:F51" totalsRowShown="0" headerRowDxfId="5" dataDxfId="4">
  <autoFilter ref="C9:F51"/>
  <tableColumns count="4">
    <tableColumn id="1" name="DATA" dataDxfId="3"/>
    <tableColumn id="2" name="CATEGORIA" dataDxfId="2"/>
    <tableColumn id="3" name="VALOR" dataDxfId="1"/>
    <tableColumn id="4" name="CLASSIFICAÇÃO IR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haisc_cabral@hotmail.com?subject=Ol&#225;,%20Precisamos%20falar%20sobre%20seu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haisc_cabral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F23"/>
  <sheetViews>
    <sheetView showGridLines="0" showRowColHeaders="0" zoomScaleNormal="100" workbookViewId="0">
      <selection activeCell="D6" sqref="D6"/>
    </sheetView>
  </sheetViews>
  <sheetFormatPr defaultColWidth="0" defaultRowHeight="15" x14ac:dyDescent="0.25"/>
  <cols>
    <col min="1" max="1" width="25.5703125" style="6" customWidth="1"/>
    <col min="2" max="2" width="3.5703125" customWidth="1"/>
    <col min="3" max="3" width="41" customWidth="1"/>
    <col min="4" max="4" width="44.7109375" customWidth="1"/>
    <col min="5" max="5" width="8.7109375" customWidth="1"/>
    <col min="6" max="6" width="9.140625" customWidth="1"/>
    <col min="7" max="16384" width="9.140625" hidden="1"/>
  </cols>
  <sheetData>
    <row r="3" spans="3:5" ht="19.5" customHeight="1" thickBot="1" x14ac:dyDescent="0.35">
      <c r="C3" s="72" t="s">
        <v>130</v>
      </c>
      <c r="D3" s="72"/>
      <c r="E3" s="8"/>
    </row>
    <row r="4" spans="3:5" ht="15.75" thickTop="1" x14ac:dyDescent="0.25">
      <c r="C4" s="73" t="s">
        <v>0</v>
      </c>
      <c r="D4" s="73"/>
      <c r="E4" s="73"/>
    </row>
    <row r="6" spans="3:5" x14ac:dyDescent="0.25">
      <c r="C6" s="34" t="s">
        <v>1</v>
      </c>
      <c r="D6" s="37" t="s">
        <v>13</v>
      </c>
    </row>
    <row r="7" spans="3:5" x14ac:dyDescent="0.25">
      <c r="C7" s="35" t="s">
        <v>2</v>
      </c>
      <c r="D7" s="38">
        <v>12312312388</v>
      </c>
    </row>
    <row r="8" spans="3:5" x14ac:dyDescent="0.25">
      <c r="C8" s="35" t="s">
        <v>3</v>
      </c>
      <c r="D8" s="39">
        <v>36096</v>
      </c>
    </row>
    <row r="9" spans="3:5" x14ac:dyDescent="0.25">
      <c r="C9" s="35" t="s">
        <v>4</v>
      </c>
      <c r="D9" s="40">
        <v>12345678</v>
      </c>
    </row>
    <row r="10" spans="3:5" x14ac:dyDescent="0.25">
      <c r="C10" s="35" t="s">
        <v>14</v>
      </c>
      <c r="D10" s="40" t="s">
        <v>16</v>
      </c>
    </row>
    <row r="11" spans="3:5" x14ac:dyDescent="0.25">
      <c r="C11" s="35" t="s">
        <v>5</v>
      </c>
      <c r="D11" s="40" t="s">
        <v>15</v>
      </c>
    </row>
    <row r="12" spans="3:5" x14ac:dyDescent="0.25">
      <c r="C12" s="35" t="s">
        <v>6</v>
      </c>
      <c r="D12" s="40" t="s">
        <v>17</v>
      </c>
    </row>
    <row r="13" spans="3:5" x14ac:dyDescent="0.25">
      <c r="C13" s="35" t="s">
        <v>7</v>
      </c>
      <c r="D13" s="41" t="s">
        <v>18</v>
      </c>
    </row>
    <row r="14" spans="3:5" x14ac:dyDescent="0.25">
      <c r="C14" s="35" t="s">
        <v>8</v>
      </c>
      <c r="D14" s="42" t="s">
        <v>19</v>
      </c>
    </row>
    <row r="15" spans="3:5" x14ac:dyDescent="0.25">
      <c r="C15" s="35" t="s">
        <v>9</v>
      </c>
      <c r="D15" s="43">
        <v>11982533253</v>
      </c>
    </row>
    <row r="16" spans="3:5" x14ac:dyDescent="0.25">
      <c r="C16" s="35" t="s">
        <v>10</v>
      </c>
      <c r="D16" s="44" t="s">
        <v>20</v>
      </c>
    </row>
    <row r="17" spans="3:4" x14ac:dyDescent="0.25">
      <c r="C17" s="35" t="s">
        <v>11</v>
      </c>
      <c r="D17" s="40" t="s">
        <v>21</v>
      </c>
    </row>
    <row r="18" spans="3:4" x14ac:dyDescent="0.25">
      <c r="C18" s="35" t="s">
        <v>12</v>
      </c>
      <c r="D18" s="40" t="s">
        <v>22</v>
      </c>
    </row>
    <row r="19" spans="3:4" x14ac:dyDescent="0.25">
      <c r="C19" s="36" t="s">
        <v>95</v>
      </c>
      <c r="D19" s="45" t="s">
        <v>22</v>
      </c>
    </row>
    <row r="21" spans="3:4" x14ac:dyDescent="0.25">
      <c r="D21" s="2"/>
    </row>
    <row r="23" spans="3:4" x14ac:dyDescent="0.25">
      <c r="C23" s="7"/>
    </row>
  </sheetData>
  <sheetProtection sheet="1" objects="1" scenarios="1" selectLockedCells="1"/>
  <mergeCells count="2">
    <mergeCell ref="C3:D3"/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F30"/>
  <sheetViews>
    <sheetView showGridLines="0" showRowColHeaders="0" zoomScaleNormal="100" workbookViewId="0">
      <selection activeCell="D10" sqref="D10"/>
    </sheetView>
  </sheetViews>
  <sheetFormatPr defaultColWidth="0" defaultRowHeight="15" x14ac:dyDescent="0.25"/>
  <cols>
    <col min="1" max="1" width="25.5703125" style="6" customWidth="1"/>
    <col min="2" max="2" width="3.5703125" customWidth="1"/>
    <col min="3" max="3" width="41" customWidth="1"/>
    <col min="4" max="4" width="44.7109375" customWidth="1"/>
    <col min="5" max="5" width="8.7109375" customWidth="1"/>
    <col min="6" max="6" width="9.140625" customWidth="1"/>
    <col min="7" max="16384" width="9.140625" hidden="1"/>
  </cols>
  <sheetData>
    <row r="3" spans="3:5" ht="19.5" customHeight="1" thickBot="1" x14ac:dyDescent="0.35">
      <c r="C3" s="72" t="s">
        <v>99</v>
      </c>
      <c r="D3" s="72"/>
      <c r="E3" s="8"/>
    </row>
    <row r="4" spans="3:5" ht="15.75" thickTop="1" x14ac:dyDescent="0.25">
      <c r="C4" s="73" t="s">
        <v>100</v>
      </c>
      <c r="D4" s="73"/>
      <c r="E4" s="73"/>
    </row>
    <row r="6" spans="3:5" x14ac:dyDescent="0.25">
      <c r="C6" s="12" t="s">
        <v>23</v>
      </c>
    </row>
    <row r="7" spans="3:5" x14ac:dyDescent="0.25">
      <c r="C7" s="74">
        <f>SUM(D11,D16,D21,D26)</f>
        <v>1300000</v>
      </c>
      <c r="D7" s="75"/>
    </row>
    <row r="9" spans="3:5" x14ac:dyDescent="0.25">
      <c r="C9" s="3" t="s">
        <v>24</v>
      </c>
    </row>
    <row r="10" spans="3:5" x14ac:dyDescent="0.25">
      <c r="C10" s="46" t="s">
        <v>25</v>
      </c>
      <c r="D10" s="47" t="s">
        <v>27</v>
      </c>
    </row>
    <row r="11" spans="3:5" x14ac:dyDescent="0.25">
      <c r="C11" s="46" t="s">
        <v>26</v>
      </c>
      <c r="D11" s="48">
        <v>250000</v>
      </c>
    </row>
    <row r="12" spans="3:5" x14ac:dyDescent="0.25">
      <c r="C12" s="46" t="s">
        <v>49</v>
      </c>
      <c r="D12" s="47" t="s">
        <v>88</v>
      </c>
    </row>
    <row r="13" spans="3:5" x14ac:dyDescent="0.25">
      <c r="C13" s="1"/>
      <c r="D13" s="3"/>
    </row>
    <row r="14" spans="3:5" x14ac:dyDescent="0.25">
      <c r="C14" s="3" t="s">
        <v>84</v>
      </c>
      <c r="D14" s="3"/>
    </row>
    <row r="15" spans="3:5" x14ac:dyDescent="0.25">
      <c r="C15" s="46" t="s">
        <v>25</v>
      </c>
      <c r="D15" s="47" t="s">
        <v>96</v>
      </c>
    </row>
    <row r="16" spans="3:5" x14ac:dyDescent="0.25">
      <c r="C16" s="46" t="s">
        <v>26</v>
      </c>
      <c r="D16" s="48">
        <v>300000</v>
      </c>
    </row>
    <row r="17" spans="3:4" x14ac:dyDescent="0.25">
      <c r="C17" s="46" t="s">
        <v>49</v>
      </c>
      <c r="D17" s="47" t="s">
        <v>89</v>
      </c>
    </row>
    <row r="18" spans="3:4" x14ac:dyDescent="0.25">
      <c r="C18" s="1"/>
      <c r="D18" s="3"/>
    </row>
    <row r="19" spans="3:4" x14ac:dyDescent="0.25">
      <c r="C19" s="3" t="s">
        <v>85</v>
      </c>
      <c r="D19" s="3"/>
    </row>
    <row r="20" spans="3:4" x14ac:dyDescent="0.25">
      <c r="C20" s="46" t="s">
        <v>25</v>
      </c>
      <c r="D20" s="47" t="s">
        <v>44</v>
      </c>
    </row>
    <row r="21" spans="3:4" x14ac:dyDescent="0.25">
      <c r="C21" s="46" t="s">
        <v>26</v>
      </c>
      <c r="D21" s="48">
        <v>500000</v>
      </c>
    </row>
    <row r="22" spans="3:4" x14ac:dyDescent="0.25">
      <c r="C22" s="46" t="s">
        <v>49</v>
      </c>
      <c r="D22" s="47" t="s">
        <v>90</v>
      </c>
    </row>
    <row r="23" spans="3:4" x14ac:dyDescent="0.25">
      <c r="D23" s="3"/>
    </row>
    <row r="24" spans="3:4" x14ac:dyDescent="0.25">
      <c r="C24" s="3" t="s">
        <v>86</v>
      </c>
      <c r="D24" s="3"/>
    </row>
    <row r="25" spans="3:4" x14ac:dyDescent="0.25">
      <c r="C25" s="46" t="s">
        <v>25</v>
      </c>
      <c r="D25" s="47" t="s">
        <v>87</v>
      </c>
    </row>
    <row r="26" spans="3:4" x14ac:dyDescent="0.25">
      <c r="C26" s="46" t="s">
        <v>26</v>
      </c>
      <c r="D26" s="48">
        <v>250000</v>
      </c>
    </row>
    <row r="27" spans="3:4" x14ac:dyDescent="0.25">
      <c r="C27" s="46" t="s">
        <v>49</v>
      </c>
      <c r="D27" s="47" t="s">
        <v>91</v>
      </c>
    </row>
    <row r="30" spans="3:4" x14ac:dyDescent="0.25">
      <c r="C30" s="11"/>
    </row>
  </sheetData>
  <sheetProtection sheet="1" objects="1" scenarios="1" selectLockedCells="1"/>
  <mergeCells count="3">
    <mergeCell ref="C3:D3"/>
    <mergeCell ref="C4:E4"/>
    <mergeCell ref="C7:D7"/>
  </mergeCells>
  <hyperlinks>
    <hyperlink ref="D16" r:id="rId1" display="thaisc_cabral@hotmail.com"/>
  </hyperlinks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Bancos!$D$3:$D$52</xm:f>
          </x14:formula1>
          <xm:sqref>D15 D20 D25</xm:sqref>
        </x14:dataValidation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Bancos!$D$3:$D$52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H51"/>
  <sheetViews>
    <sheetView showGridLines="0" showRowColHeaders="0" zoomScaleNormal="100" workbookViewId="0">
      <selection activeCell="C10" sqref="C10"/>
    </sheetView>
  </sheetViews>
  <sheetFormatPr defaultColWidth="0" defaultRowHeight="15" x14ac:dyDescent="0.25"/>
  <cols>
    <col min="1" max="1" width="25.5703125" style="6" customWidth="1"/>
    <col min="2" max="2" width="3.5703125" customWidth="1"/>
    <col min="3" max="3" width="20.7109375" customWidth="1"/>
    <col min="4" max="4" width="23.7109375" customWidth="1"/>
    <col min="5" max="6" width="20.7109375" customWidth="1"/>
    <col min="7" max="7" width="8.7109375" customWidth="1"/>
    <col min="8" max="8" width="9.140625" customWidth="1"/>
    <col min="9" max="16384" width="9.140625" hidden="1"/>
  </cols>
  <sheetData>
    <row r="3" spans="3:8" ht="19.5" customHeight="1" thickBot="1" x14ac:dyDescent="0.35">
      <c r="C3" s="72" t="s">
        <v>98</v>
      </c>
      <c r="D3" s="72"/>
      <c r="E3" s="72"/>
      <c r="F3" s="72"/>
      <c r="G3" s="16"/>
      <c r="H3" s="17"/>
    </row>
    <row r="4" spans="3:8" ht="15.75" thickTop="1" x14ac:dyDescent="0.25">
      <c r="C4" s="73" t="s">
        <v>45</v>
      </c>
      <c r="D4" s="73"/>
      <c r="E4" s="73"/>
      <c r="F4" s="73"/>
      <c r="G4" s="19"/>
      <c r="H4" s="18"/>
    </row>
    <row r="8" spans="3:8" x14ac:dyDescent="0.25">
      <c r="C8" s="76" t="s">
        <v>106</v>
      </c>
      <c r="D8" s="76"/>
      <c r="E8" s="76"/>
      <c r="F8" s="76"/>
    </row>
    <row r="9" spans="3:8" x14ac:dyDescent="0.25">
      <c r="C9" s="65" t="s">
        <v>46</v>
      </c>
      <c r="D9" s="65" t="s">
        <v>47</v>
      </c>
      <c r="E9" s="65" t="s">
        <v>48</v>
      </c>
      <c r="F9" s="65" t="s">
        <v>101</v>
      </c>
    </row>
    <row r="10" spans="3:8" x14ac:dyDescent="0.25">
      <c r="C10" s="13">
        <v>46023</v>
      </c>
      <c r="D10" s="14" t="s">
        <v>102</v>
      </c>
      <c r="E10" s="26">
        <v>7500</v>
      </c>
      <c r="F10" s="27" t="s">
        <v>105</v>
      </c>
    </row>
    <row r="11" spans="3:8" x14ac:dyDescent="0.25">
      <c r="C11" s="13">
        <v>46023</v>
      </c>
      <c r="D11" s="14" t="s">
        <v>103</v>
      </c>
      <c r="E11" s="28">
        <v>2000</v>
      </c>
      <c r="F11" s="29" t="s">
        <v>105</v>
      </c>
    </row>
    <row r="12" spans="3:8" x14ac:dyDescent="0.25">
      <c r="C12" s="13">
        <v>46054</v>
      </c>
      <c r="D12" s="14" t="s">
        <v>102</v>
      </c>
      <c r="E12" s="26">
        <v>7500</v>
      </c>
      <c r="F12" s="27" t="s">
        <v>105</v>
      </c>
    </row>
    <row r="13" spans="3:8" x14ac:dyDescent="0.25">
      <c r="C13" s="13">
        <v>46054</v>
      </c>
      <c r="D13" s="14" t="s">
        <v>104</v>
      </c>
      <c r="E13" s="28">
        <v>4500</v>
      </c>
      <c r="F13" s="29" t="s">
        <v>115</v>
      </c>
    </row>
    <row r="14" spans="3:8" x14ac:dyDescent="0.25">
      <c r="C14" s="13">
        <v>46082</v>
      </c>
      <c r="D14" s="14" t="s">
        <v>102</v>
      </c>
      <c r="E14" s="26">
        <v>7500</v>
      </c>
      <c r="F14" s="27" t="s">
        <v>105</v>
      </c>
    </row>
    <row r="15" spans="3:8" x14ac:dyDescent="0.25">
      <c r="C15" s="13">
        <v>46082</v>
      </c>
      <c r="D15" s="14" t="s">
        <v>116</v>
      </c>
      <c r="E15" s="28">
        <v>1200</v>
      </c>
      <c r="F15" s="29" t="s">
        <v>105</v>
      </c>
    </row>
    <row r="16" spans="3:8" x14ac:dyDescent="0.25">
      <c r="C16" s="13">
        <v>46113</v>
      </c>
      <c r="D16" s="14" t="s">
        <v>102</v>
      </c>
      <c r="E16" s="26">
        <v>7500</v>
      </c>
      <c r="F16" s="27" t="s">
        <v>105</v>
      </c>
    </row>
    <row r="17" spans="3:6" x14ac:dyDescent="0.25">
      <c r="C17" s="13">
        <v>46113</v>
      </c>
      <c r="D17" s="14" t="s">
        <v>103</v>
      </c>
      <c r="E17" s="28">
        <v>2100</v>
      </c>
      <c r="F17" s="29" t="s">
        <v>105</v>
      </c>
    </row>
    <row r="18" spans="3:6" x14ac:dyDescent="0.25">
      <c r="C18" s="13">
        <v>46113</v>
      </c>
      <c r="D18" s="14" t="s">
        <v>104</v>
      </c>
      <c r="E18" s="26">
        <v>3000</v>
      </c>
      <c r="F18" s="27" t="s">
        <v>115</v>
      </c>
    </row>
    <row r="19" spans="3:6" x14ac:dyDescent="0.25">
      <c r="C19" s="13">
        <v>46143</v>
      </c>
      <c r="D19" s="14" t="s">
        <v>102</v>
      </c>
      <c r="E19" s="28">
        <v>7550</v>
      </c>
      <c r="F19" s="29" t="s">
        <v>105</v>
      </c>
    </row>
    <row r="20" spans="3:6" x14ac:dyDescent="0.25">
      <c r="C20" s="13">
        <v>46143</v>
      </c>
      <c r="D20" s="14" t="s">
        <v>117</v>
      </c>
      <c r="E20" s="26">
        <v>2000</v>
      </c>
      <c r="F20" s="27" t="s">
        <v>118</v>
      </c>
    </row>
    <row r="21" spans="3:6" x14ac:dyDescent="0.25">
      <c r="C21" s="13">
        <v>46174</v>
      </c>
      <c r="D21" s="14" t="s">
        <v>102</v>
      </c>
      <c r="E21" s="28">
        <v>7550</v>
      </c>
      <c r="F21" s="29" t="s">
        <v>105</v>
      </c>
    </row>
    <row r="22" spans="3:6" x14ac:dyDescent="0.25">
      <c r="C22" s="13">
        <v>46204</v>
      </c>
      <c r="D22" s="14" t="s">
        <v>102</v>
      </c>
      <c r="E22" s="26">
        <v>7550</v>
      </c>
      <c r="F22" s="27" t="s">
        <v>105</v>
      </c>
    </row>
    <row r="23" spans="3:6" x14ac:dyDescent="0.25">
      <c r="C23" s="13">
        <v>46204</v>
      </c>
      <c r="D23" s="14" t="s">
        <v>103</v>
      </c>
      <c r="E23" s="28">
        <v>2000</v>
      </c>
      <c r="F23" s="29" t="s">
        <v>105</v>
      </c>
    </row>
    <row r="24" spans="3:6" x14ac:dyDescent="0.25">
      <c r="C24" s="13">
        <v>46235</v>
      </c>
      <c r="D24" s="14" t="s">
        <v>102</v>
      </c>
      <c r="E24" s="26">
        <v>7550</v>
      </c>
      <c r="F24" s="27" t="s">
        <v>105</v>
      </c>
    </row>
    <row r="25" spans="3:6" x14ac:dyDescent="0.25">
      <c r="C25" s="13">
        <v>46235</v>
      </c>
      <c r="D25" s="14" t="s">
        <v>104</v>
      </c>
      <c r="E25" s="28">
        <v>1500</v>
      </c>
      <c r="F25" s="29" t="s">
        <v>115</v>
      </c>
    </row>
    <row r="26" spans="3:6" x14ac:dyDescent="0.25">
      <c r="C26" s="13">
        <v>46235</v>
      </c>
      <c r="D26" s="14" t="s">
        <v>116</v>
      </c>
      <c r="E26" s="26">
        <v>1500</v>
      </c>
      <c r="F26" s="27" t="s">
        <v>105</v>
      </c>
    </row>
    <row r="27" spans="3:6" x14ac:dyDescent="0.25">
      <c r="C27" s="13">
        <v>46266</v>
      </c>
      <c r="D27" s="14" t="s">
        <v>102</v>
      </c>
      <c r="E27" s="28">
        <v>7550</v>
      </c>
      <c r="F27" s="29" t="s">
        <v>105</v>
      </c>
    </row>
    <row r="28" spans="3:6" x14ac:dyDescent="0.25">
      <c r="C28" s="13">
        <v>46296</v>
      </c>
      <c r="D28" s="14" t="s">
        <v>102</v>
      </c>
      <c r="E28" s="26">
        <v>7550</v>
      </c>
      <c r="F28" s="27" t="s">
        <v>105</v>
      </c>
    </row>
    <row r="29" spans="3:6" x14ac:dyDescent="0.25">
      <c r="C29" s="13">
        <v>46327</v>
      </c>
      <c r="D29" s="14" t="s">
        <v>102</v>
      </c>
      <c r="E29" s="28">
        <v>11500</v>
      </c>
      <c r="F29" s="29" t="s">
        <v>105</v>
      </c>
    </row>
    <row r="30" spans="3:6" x14ac:dyDescent="0.25">
      <c r="C30" s="13">
        <v>46357</v>
      </c>
      <c r="D30" s="14" t="s">
        <v>102</v>
      </c>
      <c r="E30" s="26">
        <v>13000</v>
      </c>
      <c r="F30" s="27" t="s">
        <v>105</v>
      </c>
    </row>
    <row r="31" spans="3:6" x14ac:dyDescent="0.25">
      <c r="C31" s="13">
        <v>46357</v>
      </c>
      <c r="D31" s="14" t="s">
        <v>103</v>
      </c>
      <c r="E31" s="28">
        <v>2500</v>
      </c>
      <c r="F31" s="29" t="s">
        <v>105</v>
      </c>
    </row>
    <row r="32" spans="3:6" x14ac:dyDescent="0.25">
      <c r="C32" s="13"/>
      <c r="D32" s="14"/>
      <c r="E32" s="15"/>
      <c r="F32" s="20"/>
    </row>
    <row r="33" spans="3:6" x14ac:dyDescent="0.25">
      <c r="C33" s="13"/>
      <c r="D33" s="14"/>
      <c r="E33" s="15"/>
      <c r="F33" s="20"/>
    </row>
    <row r="34" spans="3:6" x14ac:dyDescent="0.25">
      <c r="C34" s="13"/>
      <c r="D34" s="14"/>
      <c r="E34" s="15"/>
      <c r="F34" s="20"/>
    </row>
    <row r="35" spans="3:6" x14ac:dyDescent="0.25">
      <c r="C35" s="13"/>
      <c r="D35" s="14"/>
      <c r="E35" s="15"/>
      <c r="F35" s="20"/>
    </row>
    <row r="36" spans="3:6" x14ac:dyDescent="0.25">
      <c r="C36" s="13"/>
      <c r="D36" s="14"/>
      <c r="E36" s="15"/>
      <c r="F36" s="20"/>
    </row>
    <row r="37" spans="3:6" x14ac:dyDescent="0.25">
      <c r="C37" s="13"/>
      <c r="D37" s="14"/>
      <c r="E37" s="15"/>
      <c r="F37" s="20"/>
    </row>
    <row r="38" spans="3:6" x14ac:dyDescent="0.25">
      <c r="C38" s="13"/>
      <c r="D38" s="14"/>
      <c r="E38" s="15"/>
      <c r="F38" s="20"/>
    </row>
    <row r="39" spans="3:6" x14ac:dyDescent="0.25">
      <c r="C39" s="13"/>
      <c r="D39" s="14"/>
      <c r="E39" s="15"/>
      <c r="F39" s="20"/>
    </row>
    <row r="40" spans="3:6" x14ac:dyDescent="0.25">
      <c r="C40" s="13"/>
      <c r="D40" s="14"/>
      <c r="E40" s="15"/>
      <c r="F40" s="20"/>
    </row>
    <row r="41" spans="3:6" x14ac:dyDescent="0.25">
      <c r="C41" s="13"/>
      <c r="D41" s="14"/>
      <c r="E41" s="15"/>
      <c r="F41" s="20"/>
    </row>
    <row r="42" spans="3:6" x14ac:dyDescent="0.25">
      <c r="C42" s="13"/>
      <c r="D42" s="14"/>
      <c r="E42" s="15"/>
      <c r="F42" s="20"/>
    </row>
    <row r="43" spans="3:6" x14ac:dyDescent="0.25">
      <c r="C43" s="13"/>
      <c r="D43" s="14"/>
      <c r="E43" s="15"/>
      <c r="F43" s="20"/>
    </row>
    <row r="44" spans="3:6" x14ac:dyDescent="0.25">
      <c r="C44" s="13"/>
      <c r="D44" s="14"/>
      <c r="E44" s="15"/>
      <c r="F44" s="20"/>
    </row>
    <row r="45" spans="3:6" x14ac:dyDescent="0.25">
      <c r="C45" s="13"/>
      <c r="D45" s="14"/>
      <c r="E45" s="15"/>
      <c r="F45" s="20"/>
    </row>
    <row r="46" spans="3:6" x14ac:dyDescent="0.25">
      <c r="C46" s="13"/>
      <c r="D46" s="14"/>
      <c r="E46" s="15"/>
      <c r="F46" s="20"/>
    </row>
    <row r="47" spans="3:6" x14ac:dyDescent="0.25">
      <c r="C47" s="13"/>
      <c r="D47" s="14"/>
      <c r="E47" s="15"/>
      <c r="F47" s="20"/>
    </row>
    <row r="48" spans="3:6" x14ac:dyDescent="0.25">
      <c r="C48" s="13"/>
      <c r="D48" s="14"/>
      <c r="E48" s="15"/>
      <c r="F48" s="20"/>
    </row>
    <row r="49" spans="3:6" x14ac:dyDescent="0.25">
      <c r="C49" s="13"/>
      <c r="D49" s="14"/>
      <c r="E49" s="15"/>
      <c r="F49" s="20"/>
    </row>
    <row r="50" spans="3:6" x14ac:dyDescent="0.25">
      <c r="C50" s="13"/>
      <c r="D50" s="14"/>
      <c r="E50" s="15"/>
      <c r="F50" s="20"/>
    </row>
    <row r="51" spans="3:6" x14ac:dyDescent="0.25">
      <c r="C51" s="13"/>
      <c r="D51" s="14"/>
      <c r="E51" s="15"/>
      <c r="F51" s="20"/>
    </row>
  </sheetData>
  <sheetProtection sheet="1" objects="1" scenarios="1" selectLockedCells="1"/>
  <mergeCells count="3">
    <mergeCell ref="C8:F8"/>
    <mergeCell ref="C3:F3"/>
    <mergeCell ref="C4:F4"/>
  </mergeCells>
  <dataValidations count="2">
    <dataValidation type="list" allowBlank="1" showInputMessage="1" showErrorMessage="1" sqref="D10:D51">
      <formula1>"Salário,Aluguéis,Tranferências própria,Rendimentos bancários,Reembolso,Pix recebido,Outros"</formula1>
    </dataValidation>
    <dataValidation type="list" allowBlank="1" showInputMessage="1" showErrorMessage="1" sqref="F10:F51">
      <formula1>"Tributável,Não tributável,Isento"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3:H34"/>
  <sheetViews>
    <sheetView showGridLines="0" showRowColHeaders="0" tabSelected="1" zoomScaleNormal="100" workbookViewId="0">
      <selection activeCell="F8" sqref="F8"/>
    </sheetView>
  </sheetViews>
  <sheetFormatPr defaultColWidth="0" defaultRowHeight="15" x14ac:dyDescent="0.25"/>
  <cols>
    <col min="1" max="1" width="25.5703125" style="6" customWidth="1"/>
    <col min="2" max="2" width="3.5703125" customWidth="1"/>
    <col min="3" max="3" width="30.85546875" customWidth="1"/>
    <col min="4" max="4" width="18.7109375" customWidth="1"/>
    <col min="5" max="5" width="8.28515625" customWidth="1"/>
    <col min="6" max="6" width="17.7109375" customWidth="1"/>
    <col min="7" max="7" width="18.5703125" customWidth="1"/>
    <col min="8" max="8" width="9.140625" customWidth="1"/>
    <col min="9" max="16384" width="9.140625" hidden="1"/>
  </cols>
  <sheetData>
    <row r="3" spans="3:7" ht="19.5" customHeight="1" thickBot="1" x14ac:dyDescent="0.35">
      <c r="C3" s="72" t="s">
        <v>97</v>
      </c>
      <c r="D3" s="72"/>
      <c r="E3" s="16"/>
      <c r="F3" s="16"/>
      <c r="G3" s="8"/>
    </row>
    <row r="4" spans="3:7" ht="15.75" thickTop="1" x14ac:dyDescent="0.25">
      <c r="C4" s="73" t="s">
        <v>135</v>
      </c>
      <c r="D4" s="73"/>
      <c r="E4" s="73"/>
      <c r="F4" s="73"/>
      <c r="G4" s="73"/>
    </row>
    <row r="6" spans="3:7" x14ac:dyDescent="0.25">
      <c r="C6" s="76" t="s">
        <v>131</v>
      </c>
      <c r="D6" s="76"/>
      <c r="F6" s="79" t="s">
        <v>132</v>
      </c>
      <c r="G6" s="79"/>
    </row>
    <row r="7" spans="3:7" x14ac:dyDescent="0.25">
      <c r="C7" s="49" t="s">
        <v>120</v>
      </c>
      <c r="D7" s="50" t="s">
        <v>48</v>
      </c>
      <c r="F7" s="63" t="s">
        <v>119</v>
      </c>
      <c r="G7" s="64" t="s">
        <v>48</v>
      </c>
    </row>
    <row r="8" spans="3:7" x14ac:dyDescent="0.25">
      <c r="C8" s="30" t="s">
        <v>108</v>
      </c>
      <c r="D8" s="31">
        <f>SUM(Tabela13[VALOR])</f>
        <v>122100</v>
      </c>
      <c r="F8" s="56" t="s">
        <v>121</v>
      </c>
      <c r="G8" s="57">
        <v>2275.08</v>
      </c>
    </row>
    <row r="9" spans="3:7" x14ac:dyDescent="0.25">
      <c r="C9" s="32" t="s">
        <v>109</v>
      </c>
      <c r="D9" s="33">
        <f>SUMIF(Tabela13[CLASSIFICAÇÃO IR],"Tributável",Tabela13[VALOR])</f>
        <v>111100</v>
      </c>
      <c r="F9" s="21" t="s">
        <v>122</v>
      </c>
      <c r="G9" s="57"/>
    </row>
    <row r="10" spans="3:7" x14ac:dyDescent="0.25">
      <c r="C10" s="32" t="s">
        <v>110</v>
      </c>
      <c r="D10" s="33">
        <f>SUMIF(Tabela13[CLASSIFICAÇÃO IR],"Isento",Tabela13[VALOR])</f>
        <v>2000</v>
      </c>
      <c r="F10" s="21"/>
      <c r="G10" s="57"/>
    </row>
    <row r="11" spans="3:7" ht="15" customHeight="1" x14ac:dyDescent="0.25">
      <c r="C11" s="32" t="s">
        <v>111</v>
      </c>
      <c r="D11" s="33">
        <f>IFERROR(SUMIF(Tabela13[CLASSIFICAÇÃO IR],"Não tributável",Tabela13[VALOR]),0)</f>
        <v>9000</v>
      </c>
      <c r="F11" s="21"/>
      <c r="G11" s="57"/>
    </row>
    <row r="12" spans="3:7" ht="15" customHeight="1" x14ac:dyDescent="0.25">
      <c r="F12" s="21"/>
      <c r="G12" s="57"/>
    </row>
    <row r="13" spans="3:7" x14ac:dyDescent="0.25">
      <c r="C13" s="76" t="s">
        <v>123</v>
      </c>
      <c r="D13" s="76"/>
      <c r="E13" s="66"/>
      <c r="F13" s="22"/>
      <c r="G13" s="57"/>
    </row>
    <row r="14" spans="3:7" x14ac:dyDescent="0.25">
      <c r="C14" s="80" t="s">
        <v>120</v>
      </c>
      <c r="D14" s="81" t="s">
        <v>48</v>
      </c>
      <c r="E14" s="67"/>
      <c r="F14" s="23"/>
      <c r="G14" s="57"/>
    </row>
    <row r="15" spans="3:7" x14ac:dyDescent="0.25">
      <c r="C15" s="32" t="s">
        <v>109</v>
      </c>
      <c r="D15" s="82">
        <f>D9</f>
        <v>111100</v>
      </c>
      <c r="E15" s="68"/>
      <c r="F15" s="24"/>
      <c r="G15" s="57"/>
    </row>
    <row r="16" spans="3:7" x14ac:dyDescent="0.25">
      <c r="C16" s="32" t="s">
        <v>112</v>
      </c>
      <c r="D16" s="82">
        <f>SUM(G8:G21)</f>
        <v>2275.08</v>
      </c>
      <c r="E16" s="69"/>
      <c r="F16" s="25"/>
      <c r="G16" s="57"/>
    </row>
    <row r="17" spans="3:7" x14ac:dyDescent="0.25">
      <c r="C17" s="32" t="s">
        <v>113</v>
      </c>
      <c r="D17" s="82">
        <f>D15-D16</f>
        <v>108824.92</v>
      </c>
      <c r="E17" s="70"/>
      <c r="F17" s="21"/>
      <c r="G17" s="57"/>
    </row>
    <row r="18" spans="3:7" x14ac:dyDescent="0.25">
      <c r="C18" s="32" t="s">
        <v>114</v>
      </c>
      <c r="D18" s="83">
        <f>IFERROR(IF(base_calculo&lt;=D27,F27,IF(AND(base_calculo&gt;=C28,base_calculo&lt;=D28),F28,IF(AND(base_calculo&gt;=C29,base_calculo&lt;=D29),F29,IF(AND(base_calculo&gt;=C30,base_calculo&lt;=D30),F30,IF(base_calculo&gt;=C31,F31))))),0)</f>
        <v>0.27500000000000002</v>
      </c>
      <c r="E18" s="70"/>
      <c r="F18" s="21"/>
      <c r="G18" s="57"/>
    </row>
    <row r="19" spans="3:7" x14ac:dyDescent="0.25">
      <c r="C19" s="32" t="s">
        <v>107</v>
      </c>
      <c r="D19" s="82">
        <f>IFERROR(VLOOKUP(D18,F27:G31,2,FALSE),0)</f>
        <v>10904.66</v>
      </c>
      <c r="E19" s="70"/>
      <c r="F19" s="21"/>
      <c r="G19" s="57"/>
    </row>
    <row r="20" spans="3:7" x14ac:dyDescent="0.25">
      <c r="C20" s="53"/>
      <c r="D20" s="51"/>
      <c r="F20" s="56"/>
      <c r="G20" s="57"/>
    </row>
    <row r="21" spans="3:7" ht="15.75" x14ac:dyDescent="0.25">
      <c r="C21" s="84" t="s">
        <v>136</v>
      </c>
      <c r="D21" s="85">
        <f>IFERROR((base_calculo*aliquota)-D19,0)</f>
        <v>19022.193000000003</v>
      </c>
      <c r="E21" s="2"/>
      <c r="F21" s="56"/>
      <c r="G21" s="57"/>
    </row>
    <row r="23" spans="3:7" x14ac:dyDescent="0.25">
      <c r="C23" s="7"/>
    </row>
    <row r="24" spans="3:7" x14ac:dyDescent="0.25">
      <c r="C24" s="77" t="s">
        <v>133</v>
      </c>
      <c r="D24" s="77"/>
      <c r="E24" s="77"/>
      <c r="F24" s="77"/>
      <c r="G24" s="77"/>
    </row>
    <row r="25" spans="3:7" ht="18" customHeight="1" x14ac:dyDescent="0.25">
      <c r="C25" s="78" t="s">
        <v>124</v>
      </c>
      <c r="D25" s="78"/>
      <c r="E25" s="78"/>
      <c r="F25" s="54" t="s">
        <v>125</v>
      </c>
      <c r="G25" s="52" t="s">
        <v>126</v>
      </c>
    </row>
    <row r="26" spans="3:7" x14ac:dyDescent="0.25">
      <c r="C26" s="55" t="s">
        <v>127</v>
      </c>
      <c r="D26" s="55" t="s">
        <v>128</v>
      </c>
      <c r="E26" s="55"/>
      <c r="F26" s="55" t="s">
        <v>134</v>
      </c>
      <c r="G26" s="55" t="s">
        <v>48</v>
      </c>
    </row>
    <row r="27" spans="3:7" x14ac:dyDescent="0.25">
      <c r="C27" s="58">
        <v>0</v>
      </c>
      <c r="D27" s="58">
        <v>29145.599999999999</v>
      </c>
      <c r="E27" s="71"/>
      <c r="F27" s="59">
        <v>0</v>
      </c>
      <c r="G27" s="60">
        <v>0</v>
      </c>
    </row>
    <row r="28" spans="3:7" x14ac:dyDescent="0.25">
      <c r="C28" s="58">
        <v>29145.61</v>
      </c>
      <c r="D28" s="58">
        <v>33919.800000000003</v>
      </c>
      <c r="E28" s="71"/>
      <c r="F28" s="61">
        <v>7.4999999999999997E-2</v>
      </c>
      <c r="G28" s="62">
        <v>2185.92</v>
      </c>
    </row>
    <row r="29" spans="3:7" x14ac:dyDescent="0.25">
      <c r="C29" s="58">
        <v>33919.81</v>
      </c>
      <c r="D29" s="58">
        <v>45012.6</v>
      </c>
      <c r="E29" s="71"/>
      <c r="F29" s="59">
        <v>0.15</v>
      </c>
      <c r="G29" s="62">
        <v>4729.91</v>
      </c>
    </row>
    <row r="30" spans="3:7" x14ac:dyDescent="0.25">
      <c r="C30" s="58">
        <v>45012.61</v>
      </c>
      <c r="D30" s="58">
        <v>55976.160000000003</v>
      </c>
      <c r="E30" s="71"/>
      <c r="F30" s="61">
        <v>0.22500000000000001</v>
      </c>
      <c r="G30" s="62">
        <v>8105.85</v>
      </c>
    </row>
    <row r="31" spans="3:7" x14ac:dyDescent="0.25">
      <c r="C31" s="58">
        <v>55976.160000000003</v>
      </c>
      <c r="D31" s="58" t="s">
        <v>129</v>
      </c>
      <c r="E31" s="71"/>
      <c r="F31" s="61">
        <v>0.27500000000000002</v>
      </c>
      <c r="G31" s="62">
        <v>10904.66</v>
      </c>
    </row>
    <row r="34" spans="3:3" x14ac:dyDescent="0.25">
      <c r="C34" s="11"/>
    </row>
  </sheetData>
  <sheetProtection sheet="1" objects="1" scenarios="1" selectLockedCells="1"/>
  <mergeCells count="7">
    <mergeCell ref="C24:G24"/>
    <mergeCell ref="C25:E25"/>
    <mergeCell ref="C3:D3"/>
    <mergeCell ref="C4:G4"/>
    <mergeCell ref="C6:D6"/>
    <mergeCell ref="F6:G6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2"/>
  <sheetViews>
    <sheetView workbookViewId="0">
      <selection activeCell="D4" sqref="D4"/>
    </sheetView>
  </sheetViews>
  <sheetFormatPr defaultRowHeight="15" x14ac:dyDescent="0.25"/>
  <cols>
    <col min="3" max="3" width="41.28515625" bestFit="1" customWidth="1"/>
    <col min="4" max="4" width="45" bestFit="1" customWidth="1"/>
  </cols>
  <sheetData>
    <row r="2" spans="2:4" x14ac:dyDescent="0.25">
      <c r="B2" s="4" t="s">
        <v>28</v>
      </c>
      <c r="C2" s="4" t="s">
        <v>29</v>
      </c>
      <c r="D2" s="10" t="s">
        <v>92</v>
      </c>
    </row>
    <row r="3" spans="2:4" x14ac:dyDescent="0.25">
      <c r="B3" s="9">
        <v>1</v>
      </c>
      <c r="C3" s="5" t="s">
        <v>30</v>
      </c>
      <c r="D3" t="str">
        <f>B3&amp;" - "&amp;C3</f>
        <v>1 - Banco do Brasil</v>
      </c>
    </row>
    <row r="4" spans="2:4" x14ac:dyDescent="0.25">
      <c r="B4" s="9">
        <v>3</v>
      </c>
      <c r="C4" s="5" t="s">
        <v>31</v>
      </c>
      <c r="D4" t="str">
        <f t="shared" ref="D4:D52" si="0">B4&amp;" - "&amp;C4</f>
        <v>3 - Banco da Amazônia</v>
      </c>
    </row>
    <row r="5" spans="2:4" x14ac:dyDescent="0.25">
      <c r="B5" s="9">
        <v>4</v>
      </c>
      <c r="C5" s="5" t="s">
        <v>50</v>
      </c>
      <c r="D5" t="str">
        <f t="shared" si="0"/>
        <v>4 - Banco do Nordeste</v>
      </c>
    </row>
    <row r="6" spans="2:4" x14ac:dyDescent="0.25">
      <c r="B6" s="9">
        <v>7</v>
      </c>
      <c r="C6" s="5" t="s">
        <v>93</v>
      </c>
      <c r="D6" t="str">
        <f t="shared" si="0"/>
        <v>7 - BNDES</v>
      </c>
    </row>
    <row r="7" spans="2:4" x14ac:dyDescent="0.25">
      <c r="B7" s="9">
        <v>12</v>
      </c>
      <c r="C7" s="5" t="s">
        <v>51</v>
      </c>
      <c r="D7" t="str">
        <f t="shared" si="0"/>
        <v>12 - Banco Inbursa</v>
      </c>
    </row>
    <row r="8" spans="2:4" x14ac:dyDescent="0.25">
      <c r="B8" s="9">
        <v>21</v>
      </c>
      <c r="C8" s="5" t="s">
        <v>52</v>
      </c>
      <c r="D8" t="str">
        <f t="shared" si="0"/>
        <v>21 - Banestes – Banco do Estado do Espírito Santo</v>
      </c>
    </row>
    <row r="9" spans="2:4" x14ac:dyDescent="0.25">
      <c r="B9" s="9">
        <v>25</v>
      </c>
      <c r="C9" s="5" t="s">
        <v>53</v>
      </c>
      <c r="D9" t="str">
        <f t="shared" si="0"/>
        <v>25 - Banco Alfa</v>
      </c>
    </row>
    <row r="10" spans="2:4" x14ac:dyDescent="0.25">
      <c r="B10" s="9">
        <v>33</v>
      </c>
      <c r="C10" s="5" t="s">
        <v>94</v>
      </c>
      <c r="D10" t="str">
        <f t="shared" si="0"/>
        <v>33 - Banco Santander</v>
      </c>
    </row>
    <row r="11" spans="2:4" x14ac:dyDescent="0.25">
      <c r="B11" s="9">
        <v>37</v>
      </c>
      <c r="C11" s="5" t="s">
        <v>54</v>
      </c>
      <c r="D11" t="str">
        <f t="shared" si="0"/>
        <v>37 - Banpará – Banco do Estado do Pará</v>
      </c>
    </row>
    <row r="12" spans="2:4" x14ac:dyDescent="0.25">
      <c r="B12" s="9">
        <v>40</v>
      </c>
      <c r="C12" s="5" t="s">
        <v>55</v>
      </c>
      <c r="D12" t="str">
        <f t="shared" si="0"/>
        <v>40 - Banco Cargill</v>
      </c>
    </row>
    <row r="13" spans="2:4" x14ac:dyDescent="0.25">
      <c r="B13" s="9">
        <v>41</v>
      </c>
      <c r="C13" s="5" t="s">
        <v>32</v>
      </c>
      <c r="D13" t="str">
        <f t="shared" si="0"/>
        <v>41 - Banrisul</v>
      </c>
    </row>
    <row r="14" spans="2:4" x14ac:dyDescent="0.25">
      <c r="B14" s="9">
        <v>47</v>
      </c>
      <c r="C14" s="5" t="s">
        <v>56</v>
      </c>
      <c r="D14" t="str">
        <f t="shared" si="0"/>
        <v>47 - Banese – Banco do Estado de Sergipe</v>
      </c>
    </row>
    <row r="15" spans="2:4" x14ac:dyDescent="0.25">
      <c r="B15" s="9">
        <v>62</v>
      </c>
      <c r="C15" s="5" t="s">
        <v>57</v>
      </c>
      <c r="D15" t="str">
        <f t="shared" si="0"/>
        <v>62 - Hipercard Banco Múltiplo</v>
      </c>
    </row>
    <row r="16" spans="2:4" x14ac:dyDescent="0.25">
      <c r="B16" s="9">
        <v>64</v>
      </c>
      <c r="C16" s="5" t="s">
        <v>58</v>
      </c>
      <c r="D16" t="str">
        <f t="shared" si="0"/>
        <v>64 - Goldman Sachs do Brasil</v>
      </c>
    </row>
    <row r="17" spans="2:4" x14ac:dyDescent="0.25">
      <c r="B17" s="9">
        <v>65</v>
      </c>
      <c r="C17" s="5" t="s">
        <v>59</v>
      </c>
      <c r="D17" t="str">
        <f t="shared" si="0"/>
        <v>65 - Banco Andbank Brasil</v>
      </c>
    </row>
    <row r="18" spans="2:4" x14ac:dyDescent="0.25">
      <c r="B18" s="9">
        <v>69</v>
      </c>
      <c r="C18" s="5" t="s">
        <v>60</v>
      </c>
      <c r="D18" t="str">
        <f t="shared" si="0"/>
        <v>69 - Banco Crefisa</v>
      </c>
    </row>
    <row r="19" spans="2:4" x14ac:dyDescent="0.25">
      <c r="B19" s="9">
        <v>70</v>
      </c>
      <c r="C19" s="5" t="s">
        <v>61</v>
      </c>
      <c r="D19" t="str">
        <f t="shared" si="0"/>
        <v>70 - BRB – Banco de Brasília</v>
      </c>
    </row>
    <row r="20" spans="2:4" x14ac:dyDescent="0.25">
      <c r="B20" s="9">
        <v>74</v>
      </c>
      <c r="C20" s="5" t="s">
        <v>62</v>
      </c>
      <c r="D20" t="str">
        <f t="shared" si="0"/>
        <v>74 - Banco J. Safra</v>
      </c>
    </row>
    <row r="21" spans="2:4" x14ac:dyDescent="0.25">
      <c r="B21" s="9">
        <v>75</v>
      </c>
      <c r="C21" s="5" t="s">
        <v>63</v>
      </c>
      <c r="D21" t="str">
        <f t="shared" si="0"/>
        <v>75 - Banco ABN AMRO</v>
      </c>
    </row>
    <row r="22" spans="2:4" x14ac:dyDescent="0.25">
      <c r="B22" s="9">
        <v>76</v>
      </c>
      <c r="C22" s="5" t="s">
        <v>64</v>
      </c>
      <c r="D22" t="str">
        <f t="shared" si="0"/>
        <v>76 - Banco KDB Brasil</v>
      </c>
    </row>
    <row r="23" spans="2:4" x14ac:dyDescent="0.25">
      <c r="B23" s="9">
        <v>77</v>
      </c>
      <c r="C23" s="5" t="s">
        <v>33</v>
      </c>
      <c r="D23" t="str">
        <f t="shared" si="0"/>
        <v>77 - Banco Inter</v>
      </c>
    </row>
    <row r="24" spans="2:4" x14ac:dyDescent="0.25">
      <c r="B24" s="9">
        <v>82</v>
      </c>
      <c r="C24" s="5" t="s">
        <v>65</v>
      </c>
      <c r="D24" t="str">
        <f t="shared" si="0"/>
        <v>82 - Banco Topázio</v>
      </c>
    </row>
    <row r="25" spans="2:4" x14ac:dyDescent="0.25">
      <c r="B25" s="9">
        <v>83</v>
      </c>
      <c r="C25" s="5" t="s">
        <v>66</v>
      </c>
      <c r="D25" t="str">
        <f t="shared" si="0"/>
        <v>83 - Bank of China Brasil</v>
      </c>
    </row>
    <row r="26" spans="2:4" x14ac:dyDescent="0.25">
      <c r="B26" s="9">
        <v>94</v>
      </c>
      <c r="C26" s="5" t="s">
        <v>67</v>
      </c>
      <c r="D26" t="str">
        <f t="shared" si="0"/>
        <v>94 - Banco Finaxis</v>
      </c>
    </row>
    <row r="27" spans="2:4" x14ac:dyDescent="0.25">
      <c r="B27" s="9">
        <v>96</v>
      </c>
      <c r="C27" s="5" t="s">
        <v>68</v>
      </c>
      <c r="D27" t="str">
        <f t="shared" si="0"/>
        <v>96 - Banco B3</v>
      </c>
    </row>
    <row r="28" spans="2:4" x14ac:dyDescent="0.25">
      <c r="B28" s="9">
        <v>102</v>
      </c>
      <c r="C28" s="5" t="s">
        <v>69</v>
      </c>
      <c r="D28" t="str">
        <f t="shared" si="0"/>
        <v>102 - XP Investimentos / Banco XP</v>
      </c>
    </row>
    <row r="29" spans="2:4" x14ac:dyDescent="0.25">
      <c r="B29" s="9">
        <v>104</v>
      </c>
      <c r="C29" s="5" t="s">
        <v>34</v>
      </c>
      <c r="D29" t="str">
        <f t="shared" si="0"/>
        <v>104 - Caixa Econômica Federal</v>
      </c>
    </row>
    <row r="30" spans="2:4" x14ac:dyDescent="0.25">
      <c r="B30" s="9">
        <v>208</v>
      </c>
      <c r="C30" s="5" t="s">
        <v>70</v>
      </c>
      <c r="D30" t="str">
        <f t="shared" si="0"/>
        <v>208 - Banco BTG Pactual</v>
      </c>
    </row>
    <row r="31" spans="2:4" x14ac:dyDescent="0.25">
      <c r="B31" s="9">
        <v>212</v>
      </c>
      <c r="C31" s="5" t="s">
        <v>71</v>
      </c>
      <c r="D31" t="str">
        <f t="shared" si="0"/>
        <v>212 - Banco Original</v>
      </c>
    </row>
    <row r="32" spans="2:4" x14ac:dyDescent="0.25">
      <c r="B32" s="9">
        <v>237</v>
      </c>
      <c r="C32" s="5" t="s">
        <v>72</v>
      </c>
      <c r="D32" t="str">
        <f t="shared" si="0"/>
        <v>237 - Banco Bradesco</v>
      </c>
    </row>
    <row r="33" spans="2:4" x14ac:dyDescent="0.25">
      <c r="B33" s="9">
        <v>260</v>
      </c>
      <c r="C33" s="5" t="s">
        <v>73</v>
      </c>
      <c r="D33" t="str">
        <f t="shared" si="0"/>
        <v>260 - Nubank – Nu Pagamentos</v>
      </c>
    </row>
    <row r="34" spans="2:4" x14ac:dyDescent="0.25">
      <c r="B34" s="9">
        <v>290</v>
      </c>
      <c r="C34" s="5" t="s">
        <v>35</v>
      </c>
      <c r="D34" t="str">
        <f t="shared" si="0"/>
        <v>290 - PagBank</v>
      </c>
    </row>
    <row r="35" spans="2:4" x14ac:dyDescent="0.25">
      <c r="B35" s="9">
        <v>323</v>
      </c>
      <c r="C35" s="5" t="s">
        <v>36</v>
      </c>
      <c r="D35" t="str">
        <f t="shared" si="0"/>
        <v>323 - Mercado Pago</v>
      </c>
    </row>
    <row r="36" spans="2:4" x14ac:dyDescent="0.25">
      <c r="B36" s="9">
        <v>336</v>
      </c>
      <c r="C36" s="5" t="s">
        <v>37</v>
      </c>
      <c r="D36" t="str">
        <f t="shared" si="0"/>
        <v>336 - C6 Bank</v>
      </c>
    </row>
    <row r="37" spans="2:4" x14ac:dyDescent="0.25">
      <c r="B37" s="9">
        <v>341</v>
      </c>
      <c r="C37" s="5" t="s">
        <v>38</v>
      </c>
      <c r="D37" t="str">
        <f t="shared" si="0"/>
        <v>341 - Itaú Unibanco</v>
      </c>
    </row>
    <row r="38" spans="2:4" x14ac:dyDescent="0.25">
      <c r="B38" s="9">
        <v>348</v>
      </c>
      <c r="C38" s="5" t="s">
        <v>74</v>
      </c>
      <c r="D38" t="str">
        <f t="shared" si="0"/>
        <v>348 - Banco XP</v>
      </c>
    </row>
    <row r="39" spans="2:4" x14ac:dyDescent="0.25">
      <c r="B39" s="9">
        <v>380</v>
      </c>
      <c r="C39" s="5" t="s">
        <v>75</v>
      </c>
      <c r="D39" t="str">
        <f t="shared" si="0"/>
        <v>380 - PicPay</v>
      </c>
    </row>
    <row r="40" spans="2:4" x14ac:dyDescent="0.25">
      <c r="B40" s="9">
        <v>389</v>
      </c>
      <c r="C40" s="5" t="s">
        <v>39</v>
      </c>
      <c r="D40" t="str">
        <f t="shared" si="0"/>
        <v>389 - Banco Mercantil do Brasil</v>
      </c>
    </row>
    <row r="41" spans="2:4" x14ac:dyDescent="0.25">
      <c r="B41" s="9">
        <v>422</v>
      </c>
      <c r="C41" s="5" t="s">
        <v>40</v>
      </c>
      <c r="D41" t="str">
        <f t="shared" si="0"/>
        <v>422 - Banco Safra</v>
      </c>
    </row>
    <row r="42" spans="2:4" x14ac:dyDescent="0.25">
      <c r="B42" s="9">
        <v>477</v>
      </c>
      <c r="C42" s="5" t="s">
        <v>76</v>
      </c>
      <c r="D42" t="str">
        <f t="shared" si="0"/>
        <v>477 - Citibank</v>
      </c>
    </row>
    <row r="43" spans="2:4" x14ac:dyDescent="0.25">
      <c r="B43" s="9">
        <v>623</v>
      </c>
      <c r="C43" s="5" t="s">
        <v>41</v>
      </c>
      <c r="D43" t="str">
        <f t="shared" si="0"/>
        <v>623 - Banco Pan</v>
      </c>
    </row>
    <row r="44" spans="2:4" x14ac:dyDescent="0.25">
      <c r="B44" s="9">
        <v>633</v>
      </c>
      <c r="C44" s="5" t="s">
        <v>42</v>
      </c>
      <c r="D44" t="str">
        <f t="shared" si="0"/>
        <v>633 - Banco Rendimento</v>
      </c>
    </row>
    <row r="45" spans="2:4" x14ac:dyDescent="0.25">
      <c r="B45" s="9">
        <v>643</v>
      </c>
      <c r="C45" s="5" t="s">
        <v>77</v>
      </c>
      <c r="D45" t="str">
        <f t="shared" si="0"/>
        <v>643 - Banco Pine</v>
      </c>
    </row>
    <row r="46" spans="2:4" x14ac:dyDescent="0.25">
      <c r="B46" s="9">
        <v>654</v>
      </c>
      <c r="C46" s="5" t="s">
        <v>78</v>
      </c>
      <c r="D46" t="str">
        <f t="shared" si="0"/>
        <v>654 - Banco Digimais</v>
      </c>
    </row>
    <row r="47" spans="2:4" x14ac:dyDescent="0.25">
      <c r="B47" s="9">
        <v>655</v>
      </c>
      <c r="C47" s="5" t="s">
        <v>79</v>
      </c>
      <c r="D47" t="str">
        <f t="shared" si="0"/>
        <v>655 - Banco BV (Votorantim)</v>
      </c>
    </row>
    <row r="48" spans="2:4" x14ac:dyDescent="0.25">
      <c r="B48" s="9">
        <v>707</v>
      </c>
      <c r="C48" s="5" t="s">
        <v>80</v>
      </c>
      <c r="D48" t="str">
        <f t="shared" si="0"/>
        <v>707 - Banco Daycoval</v>
      </c>
    </row>
    <row r="49" spans="2:4" x14ac:dyDescent="0.25">
      <c r="B49" s="9">
        <v>735</v>
      </c>
      <c r="C49" s="5" t="s">
        <v>81</v>
      </c>
      <c r="D49" t="str">
        <f t="shared" si="0"/>
        <v>735 - Banco Neon</v>
      </c>
    </row>
    <row r="50" spans="2:4" x14ac:dyDescent="0.25">
      <c r="B50" s="9">
        <v>741</v>
      </c>
      <c r="C50" s="5" t="s">
        <v>82</v>
      </c>
      <c r="D50" t="str">
        <f t="shared" si="0"/>
        <v>741 - Banco Ribeirão Preto</v>
      </c>
    </row>
    <row r="51" spans="2:4" x14ac:dyDescent="0.25">
      <c r="B51" s="9">
        <v>748</v>
      </c>
      <c r="C51" s="5" t="s">
        <v>83</v>
      </c>
      <c r="D51" t="str">
        <f t="shared" si="0"/>
        <v>748 - Banco Cooperativo Sicredi</v>
      </c>
    </row>
    <row r="52" spans="2:4" x14ac:dyDescent="0.25">
      <c r="B52" s="9">
        <v>756</v>
      </c>
      <c r="C52" s="5" t="s">
        <v>43</v>
      </c>
      <c r="D52" t="str">
        <f t="shared" si="0"/>
        <v>756 - Banco Cooperativo Sicoob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TITULAR</vt:lpstr>
      <vt:lpstr>INFORMES</vt:lpstr>
      <vt:lpstr>NOTAS</vt:lpstr>
      <vt:lpstr>SIMULAÇÃO</vt:lpstr>
      <vt:lpstr>Bancos</vt:lpstr>
      <vt:lpstr>aliquota</vt:lpstr>
      <vt:lpstr>base_calculo</vt:lpstr>
      <vt:lpstr>deducoes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2026-09-27T14:08:16Z</dcterms:created>
  <dcterms:modified xsi:type="dcterms:W3CDTF">2026-09-30T21:48:44Z</dcterms:modified>
</cp:coreProperties>
</file>