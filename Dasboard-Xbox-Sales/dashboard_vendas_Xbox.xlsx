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cuments\Análise de Dados\EXCEL com IA Santander - Bootcamp DIO\Projeto 3 - Dashboard Vendas xBox\"/>
    </mc:Choice>
  </mc:AlternateContent>
  <bookViews>
    <workbookView xWindow="0" yWindow="0" windowWidth="15150" windowHeight="8040" tabRatio="54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96" i="2" l="1"/>
  <c r="N296" i="2"/>
  <c r="O295" i="2"/>
  <c r="N295" i="2"/>
  <c r="O294" i="2"/>
  <c r="N294" i="2"/>
  <c r="O293" i="2"/>
  <c r="N293" i="2"/>
  <c r="O292" i="2"/>
  <c r="N292" i="2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E14" i="3"/>
  <c r="E25" i="3"/>
  <c r="E103" i="3"/>
  <c r="E36" i="3"/>
</calcChain>
</file>

<file path=xl/sharedStrings.xml><?xml version="1.0" encoding="utf-8"?>
<sst xmlns="http://schemas.openxmlformats.org/spreadsheetml/2006/main" count="2087" uniqueCount="345">
  <si>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</si>
  <si>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</si>
  <si>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</si>
  <si>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</si>
  <si>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</si>
  <si>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</si>
  <si>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</si>
  <si>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</si>
  <si>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</si>
  <si>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</si>
  <si>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</si>
  <si>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</si>
  <si>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</si>
  <si>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</si>
  <si>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</si>
  <si>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</si>
  <si>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</si>
  <si>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</si>
  <si>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</si>
  <si>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</si>
  <si>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</si>
  <si>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</si>
  <si>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</si>
  <si>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</si>
  <si>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</si>
  <si>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</si>
  <si>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</si>
  <si>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</si>
  <si>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</si>
  <si>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</si>
  <si>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</si>
  <si>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</si>
  <si>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</si>
  <si>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</si>
  <si>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</si>
  <si>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</si>
  <si>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</si>
  <si>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</si>
  <si>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</si>
  <si>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</si>
  <si>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</si>
  <si>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</si>
  <si>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</si>
  <si>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</si>
  <si>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</si>
  <si>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</si>
  <si>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</si>
  <si>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</si>
  <si>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</si>
  <si>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</si>
  <si>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</si>
  <si>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</si>
  <si>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</si>
  <si>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</si>
  <si>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</si>
  <si>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</si>
  <si>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</si>
  <si>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</si>
  <si>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</si>
  <si>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</si>
  <si>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</si>
  <si>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</si>
  <si>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</si>
  <si>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</si>
  <si>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</si>
  <si>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</si>
  <si>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</si>
  <si>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</si>
  <si>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</si>
  <si>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</si>
  <si>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</si>
  <si>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</si>
  <si>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</si>
  <si>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</si>
  <si>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</si>
  <si>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</si>
  <si>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</si>
  <si>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</si>
  <si>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</si>
  <si>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</si>
  <si>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</si>
  <si>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</si>
  <si>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</si>
  <si>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</si>
  <si>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</si>
  <si>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</si>
  <si>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</si>
  <si>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</si>
  <si>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</si>
  <si>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</si>
  <si>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</si>
  <si>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</si>
  <si>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</si>
  <si>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</si>
  <si>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</si>
  <si>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</si>
  <si>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</si>
  <si>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</si>
  <si>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</si>
  <si>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</si>
  <si>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</si>
  <si>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</si>
  <si>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</si>
  <si>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</si>
  <si>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</si>
  <si>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</si>
  <si>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</si>
  <si>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</si>
  <si>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</si>
  <si>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</si>
  <si>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</si>
  <si>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</si>
  <si>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</si>
  <si>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</si>
  <si>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</si>
  <si>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</si>
  <si>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</si>
  <si>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</si>
  <si>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</si>
  <si>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</si>
  <si>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</si>
  <si>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</si>
  <si>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</si>
  <si>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</si>
  <si>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</si>
  <si>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</si>
  <si>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</si>
  <si>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</si>
  <si>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</si>
  <si>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</si>
  <si>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</si>
  <si>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</si>
  <si>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</si>
  <si>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</si>
  <si>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</si>
  <si>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</si>
  <si>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</si>
  <si>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</si>
  <si>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</si>
  <si>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</si>
  <si>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</si>
  <si>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</si>
  <si>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</si>
  <si>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</si>
  <si>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</si>
  <si>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</si>
  <si>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</si>
  <si>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</si>
  <si>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</si>
  <si>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</si>
  <si>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</si>
  <si>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</si>
  <si>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</si>
  <si>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</si>
  <si>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</si>
  <si>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</si>
  <si>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</si>
  <si>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</si>
  <si>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</si>
  <si>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</si>
  <si>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</si>
  <si>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</si>
  <si>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</si>
  <si>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</si>
  <si>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</si>
  <si>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</si>
  <si>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</si>
  <si>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</si>
  <si>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</si>
  <si>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</si>
  <si>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</si>
  <si>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</si>
  <si>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</si>
  <si>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</si>
  <si>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</si>
  <si>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</si>
  <si>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</si>
  <si>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</si>
  <si>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</si>
  <si>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</si>
  <si>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</si>
  <si>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</si>
  <si>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</si>
  <si>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</si>
  <si>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</si>
  <si>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</si>
  <si>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</si>
  <si>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</si>
  <si>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</si>
  <si>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</si>
  <si>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</si>
  <si>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</si>
  <si>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</si>
  <si>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</si>
  <si>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</si>
  <si>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</si>
  <si>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</si>
  <si>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</si>
  <si>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</si>
  <si>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</si>
  <si>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</si>
  <si>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</si>
  <si>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</si>
  <si>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</si>
  <si>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</si>
  <si>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</si>
  <si>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</si>
  <si>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</si>
  <si>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</si>
  <si>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</si>
  <si>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</si>
  <si>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</si>
  <si>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</si>
  <si>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</si>
  <si>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</si>
  <si>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</si>
  <si>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</si>
  <si>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</si>
  <si>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</si>
  <si>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</si>
  <si>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</si>
  <si>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</si>
  <si>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</si>
  <si>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</si>
  <si>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</si>
  <si>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</si>
  <si>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</si>
  <si>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</si>
  <si>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</si>
  <si>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</si>
  <si>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</si>
  <si>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</si>
  <si>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</si>
  <si>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</si>
  <si>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</si>
  <si>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</si>
  <si>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</si>
  <si>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</si>
  <si>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</si>
  <si>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</si>
  <si>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</si>
  <si>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</si>
  <si>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</si>
  <si>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</si>
  <si>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</si>
  <si>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</si>
  <si>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</si>
  <si>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</si>
  <si>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</si>
  <si>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</si>
  <si>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</si>
  <si>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</si>
  <si>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</si>
  <si>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</si>
  <si>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</si>
  <si>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</si>
  <si>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</si>
  <si>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</si>
  <si>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</si>
  <si>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</si>
  <si>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</si>
  <si>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</si>
  <si>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</si>
  <si>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</si>
  <si>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</si>
  <si>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</si>
  <si>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</si>
  <si>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</si>
  <si>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</si>
  <si>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</si>
  <si>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</si>
  <si>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</si>
  <si>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</si>
  <si>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</si>
  <si>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</si>
  <si>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</si>
  <si>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</si>
  <si>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</si>
  <si>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</si>
  <si>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</si>
  <si>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</si>
  <si>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</si>
  <si>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</si>
  <si>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</si>
  <si>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</si>
  <si>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</si>
  <si>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</si>
  <si>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</si>
  <si>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</si>
  <si>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</si>
  <si>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</si>
  <si>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</si>
  <si>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</si>
  <si>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</si>
  <si>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</si>
  <si>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</si>
  <si>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</si>
  <si>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</si>
  <si>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</si>
  <si>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</si>
  <si>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</si>
  <si>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</si>
  <si>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</si>
  <si>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</si>
  <si>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</si>
  <si>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</si>
  <si>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</si>
  <si>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</si>
  <si>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</si>
  <si>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</si>
  <si>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</si>
  <si>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</si>
  <si>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</si>
  <si>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</si>
  <si>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</si>
  <si>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</si>
  <si>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</si>
  <si>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</si>
  <si>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t>Soma de Total Value</t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</si>
  <si>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</si>
  <si>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</si>
  <si>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</si>
  <si>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Total de Vendas Por Tipo de Plano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</si>
  <si>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</si>
  <si>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</si>
  <si>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</si>
  <si>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</si>
  <si>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</si>
  <si>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</si>
  <si>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</si>
  <si>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</si>
  <si>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</si>
  <si>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</si>
  <si>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</si>
  <si>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Qtde EA Play Season</t>
  </si>
  <si>
    <t>Soma de Qtde EA Play Season</t>
  </si>
  <si>
    <t>Qtde Minecraft</t>
  </si>
  <si>
    <t>Soma de Qtde Minecraft</t>
  </si>
  <si>
    <t>Contagem de Subscription Type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</si>
  <si>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 mensais e trimestrais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</si>
  <si>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anuais, anuais, mensais e trimestrais</t>
    </r>
    <r>
      <rPr>
        <sz val="11"/>
        <color theme="1"/>
        <rFont val="Aptos Narrow"/>
        <family val="2"/>
        <scheme val="minor"/>
      </rPr>
      <t xml:space="preserve"> , separado por auto renovação e não renovação</t>
    </r>
  </si>
  <si>
    <t>Pergunta Negócio 6 - Quantidade total de vendas de planos anuais</t>
  </si>
  <si>
    <t>Gráfico auxiliar 2: Quantidade de Vendas de Assinaturas do Minecraft Season Pass por mês</t>
  </si>
  <si>
    <t>Gráfico auxiliar 1: Quantidade de Vendas de Assinaturas do EA Play Pass por mês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</si>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</sst>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6" fillId="0" borderId="2" xfId="1" applyFont="1" applyBorder="1" applyAlignment="1">
      <alignment horizontal="left" indent="7"/>
    </xf>
    <xf numFmtId="0" fontId="0" fillId="0" borderId="0" xfId="0" applyBorder="1"/>
    <xf numFmtId="164" fontId="0" fillId="0" borderId="0" xfId="0" applyNumberFormat="1"/>
    <xf numFmtId="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2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1"/>
      <tableStyleElement type="headerRow" dxfId="20"/>
    </tableStyle>
  </tableStyles>
  <colors>
    <mruColors>
      <color rgb="FF22C55E"/>
      <color rgb="FF438A26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cat>
            <c:strRef>
              <c:f>C̳álculos!$B$54:$B$66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C̳álculos!$C$54:$C$66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65A-9AF8-6160EB2B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706464"/>
        <c:axId val="1949709792"/>
      </c:lineChart>
      <c:catAx>
        <c:axId val="19497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709792"/>
        <c:crosses val="autoZero"/>
        <c:auto val="1"/>
        <c:lblAlgn val="ctr"/>
        <c:lblOffset val="100"/>
        <c:noMultiLvlLbl val="0"/>
      </c:catAx>
      <c:valAx>
        <c:axId val="1949709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9706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C̳álculos!$C$71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cat>
            <c:strRef>
              <c:f>C̳álculos!$B$72:$B$84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C̳álculos!$C$72:$C$84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0-44DF-BF40-FAC6ECCB5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55600"/>
        <c:axId val="101344784"/>
      </c:lineChart>
      <c:catAx>
        <c:axId val="1013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44784"/>
        <c:crosses val="autoZero"/>
        <c:auto val="1"/>
        <c:lblAlgn val="ctr"/>
        <c:lblOffset val="100"/>
        <c:noMultiLvlLbl val="0"/>
      </c:catAx>
      <c:valAx>
        <c:axId val="10134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3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C̳álculos!$C$90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cat>
            <c:strRef>
              <c:f>C̳álculos!$B$91:$B$103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C̳álculos!$C$91:$C$103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2-4166-AAC2-0A43A911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255151"/>
        <c:axId val="1299262639"/>
      </c:lineChart>
      <c:catAx>
        <c:axId val="12992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262639"/>
        <c:crosses val="autoZero"/>
        <c:auto val="1"/>
        <c:lblAlgn val="ctr"/>
        <c:lblOffset val="100"/>
        <c:noMultiLvlLbl val="0"/>
      </c:catAx>
      <c:valAx>
        <c:axId val="1299262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925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12" Type="http://schemas.openxmlformats.org/officeDocument/2006/relationships/image" Target="../media/image9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11" Type="http://schemas.openxmlformats.org/officeDocument/2006/relationships/chart" Target="../charts/chart4.xml"/><Relationship Id="rId5" Type="http://schemas.openxmlformats.org/officeDocument/2006/relationships/image" Target="../media/image7.png"/><Relationship Id="rId10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342900</xdr:colOff>
      <xdr:row>12</xdr:row>
      <xdr:rowOff>161925</xdr:rowOff>
    </xdr:from>
    <xdr:to>
      <xdr:col>13</xdr:col>
      <xdr:colOff>409575</xdr:colOff>
      <xdr:row>17</xdr:row>
      <xdr:rowOff>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2495550"/>
          <a:ext cx="7524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12</xdr:col>
      <xdr:colOff>9525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33216</xdr:colOff>
      <xdr:row>0</xdr:row>
      <xdr:rowOff>0</xdr:rowOff>
    </xdr:from>
    <xdr:to>
      <xdr:col>2</xdr:col>
      <xdr:colOff>571500</xdr:colOff>
      <xdr:row>2</xdr:row>
      <xdr:rowOff>55769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309691" y="0"/>
          <a:ext cx="538284" cy="589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1701</xdr:rowOff>
    </xdr:from>
    <xdr:to>
      <xdr:col>0</xdr:col>
      <xdr:colOff>1876424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44776"/>
              <a:ext cx="1876424" cy="1274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119636</xdr:rowOff>
    </xdr:from>
    <xdr:to>
      <xdr:col>9</xdr:col>
      <xdr:colOff>28575</xdr:colOff>
      <xdr:row>17</xdr:row>
      <xdr:rowOff>133350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D7A77263-7404-111B-A806-E2CCC10DEAB3}"/>
            </a:ext>
          </a:extLst>
        </xdr:cNvPr>
        <xdr:cNvSpPr/>
      </xdr:nvSpPr>
      <xdr:spPr>
        <a:xfrm>
          <a:off x="2300287" y="1234061"/>
          <a:ext cx="4805363" cy="1909189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3</xdr:col>
      <xdr:colOff>490809</xdr:colOff>
      <xdr:row>10</xdr:row>
      <xdr:rowOff>30427</xdr:rowOff>
    </xdr:from>
    <xdr:to>
      <xdr:col>8</xdr:col>
      <xdr:colOff>185910</xdr:colOff>
      <xdr:row>15</xdr:row>
      <xdr:rowOff>39911</xdr:rowOff>
    </xdr:to>
    <xdr:sp macro="" textlink="C̳álculos!E14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1552D02-77C9-4CE7-8E23-3B04A00EEA4C}"/>
            </a:ext>
          </a:extLst>
        </xdr:cNvPr>
        <xdr:cNvSpPr/>
      </xdr:nvSpPr>
      <xdr:spPr>
        <a:xfrm>
          <a:off x="3453084" y="1773502"/>
          <a:ext cx="3124101" cy="914359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B8275F-0263-4627-8C55-025D05D3A2DD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pPr algn="ctr"/>
            <a:t>R$ 3.571,00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9</xdr:col>
      <xdr:colOff>516731</xdr:colOff>
      <xdr:row>6</xdr:row>
      <xdr:rowOff>119549</xdr:rowOff>
    </xdr:from>
    <xdr:to>
      <xdr:col>17</xdr:col>
      <xdr:colOff>19050</xdr:colOff>
      <xdr:row>17</xdr:row>
      <xdr:rowOff>123170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A66F6E5F-021B-034F-BDBE-412F89DE8543}"/>
            </a:ext>
          </a:extLst>
        </xdr:cNvPr>
        <xdr:cNvSpPr/>
      </xdr:nvSpPr>
      <xdr:spPr>
        <a:xfrm>
          <a:off x="7593806" y="1233974"/>
          <a:ext cx="4807744" cy="1899096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11906</xdr:colOff>
      <xdr:row>32</xdr:row>
      <xdr:rowOff>169069</xdr:rowOff>
    </xdr:from>
    <xdr:to>
      <xdr:col>17</xdr:col>
      <xdr:colOff>28575</xdr:colOff>
      <xdr:row>50</xdr:row>
      <xdr:rowOff>47625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288381" y="5893594"/>
          <a:ext cx="10122694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3090130" y="1345406"/>
            <a:ext cx="9280461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AUTO-RENEWAL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SUBSCRIPTIONS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176331</xdr:colOff>
      <xdr:row>5</xdr:row>
      <xdr:rowOff>16009</xdr:rowOff>
    </xdr:from>
    <xdr:to>
      <xdr:col>0</xdr:col>
      <xdr:colOff>1754760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76331" y="997084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kern="1200"/>
            <a:t>VIVIAN MARTINEZ</a:t>
          </a:r>
        </a:p>
      </xdr:txBody>
    </xdr:sp>
    <xdr:clientData/>
  </xdr:twoCellAnchor>
  <xdr:twoCellAnchor editAs="absolute">
    <xdr:from>
      <xdr:col>2</xdr:col>
      <xdr:colOff>33456</xdr:colOff>
      <xdr:row>2</xdr:row>
      <xdr:rowOff>228280</xdr:rowOff>
    </xdr:from>
    <xdr:to>
      <xdr:col>9</xdr:col>
      <xdr:colOff>400050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10/13/2026</a:t>
          </a:r>
        </a:p>
        <a:p>
          <a:pPr algn="l"/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357186</xdr:colOff>
      <xdr:row>10</xdr:row>
      <xdr:rowOff>23813</xdr:rowOff>
    </xdr:from>
    <xdr:to>
      <xdr:col>3</xdr:col>
      <xdr:colOff>457199</xdr:colOff>
      <xdr:row>14</xdr:row>
      <xdr:rowOff>160010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633661" y="1766888"/>
          <a:ext cx="785813" cy="860097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7</xdr:row>
      <xdr:rowOff>104775</xdr:rowOff>
    </xdr:from>
    <xdr:to>
      <xdr:col>7</xdr:col>
      <xdr:colOff>400050</xdr:colOff>
      <xdr:row>9</xdr:row>
      <xdr:rowOff>57150</xdr:rowOff>
    </xdr:to>
    <xdr:sp macro="" textlink="">
      <xdr:nvSpPr>
        <xdr:cNvPr id="2" name="CaixaDeTexto 1"/>
        <xdr:cNvSpPr txBox="1"/>
      </xdr:nvSpPr>
      <xdr:spPr>
        <a:xfrm>
          <a:off x="2400300" y="1343025"/>
          <a:ext cx="37052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Xbox Season Pass </a:t>
          </a:r>
          <a:r>
            <a:rPr lang="pt-B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Subscriptions </a:t>
          </a:r>
          <a:r>
            <a:rPr lang="pt-BR" sz="12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Sales</a:t>
          </a:r>
          <a:endParaRPr lang="pt-BR" sz="1200" b="0">
            <a:solidFill>
              <a:schemeClr val="bg1">
                <a:lumMod val="50000"/>
              </a:schemeClr>
            </a:solidFill>
            <a:effectLst/>
          </a:endParaRPr>
        </a:p>
        <a:p>
          <a:endParaRPr lang="pt-BR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23812</xdr:colOff>
      <xdr:row>19</xdr:row>
      <xdr:rowOff>19050</xdr:rowOff>
    </xdr:from>
    <xdr:to>
      <xdr:col>9</xdr:col>
      <xdr:colOff>28575</xdr:colOff>
      <xdr:row>31</xdr:row>
      <xdr:rowOff>109470</xdr:rowOff>
    </xdr:to>
    <xdr:grpSp>
      <xdr:nvGrpSpPr>
        <xdr:cNvPr id="4" name="Agrupar 3"/>
        <xdr:cNvGrpSpPr/>
      </xdr:nvGrpSpPr>
      <xdr:grpSpPr>
        <a:xfrm>
          <a:off x="2300287" y="3390900"/>
          <a:ext cx="4805363" cy="2262120"/>
          <a:chOff x="2300287" y="3390900"/>
          <a:chExt cx="4805363" cy="2262120"/>
        </a:xfrm>
      </xdr:grpSpPr>
      <xdr:sp macro="" textlink="">
        <xdr:nvSpPr>
          <xdr:cNvPr id="36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300287" y="3390900"/>
            <a:ext cx="4805363" cy="226212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37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453084" y="3773752"/>
            <a:ext cx="3124101" cy="91435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38" name="Imagem 37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0057" y="3639831"/>
            <a:ext cx="1258489" cy="1182201"/>
          </a:xfrm>
          <a:prstGeom prst="rect">
            <a:avLst/>
          </a:prstGeom>
        </xdr:spPr>
      </xdr:pic>
      <xdr:graphicFrame macro="">
        <xdr:nvGraphicFramePr>
          <xdr:cNvPr id="49" name="Gráfico 48"/>
          <xdr:cNvGraphicFramePr>
            <a:graphicFrameLocks/>
          </xdr:cNvGraphicFramePr>
        </xdr:nvGraphicFramePr>
        <xdr:xfrm>
          <a:off x="2309812" y="4424364"/>
          <a:ext cx="4767263" cy="11477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1" name="CaixaDeTexto 50"/>
          <xdr:cNvSpPr txBox="1"/>
        </xdr:nvSpPr>
        <xdr:spPr>
          <a:xfrm>
            <a:off x="2447925" y="3562350"/>
            <a:ext cx="34480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chemeClr val="bg1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Total EA Play Season Pass Subscriptions Sales</a:t>
            </a:r>
            <a:endParaRPr lang="pt-BR" sz="1200" b="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9</xdr:col>
      <xdr:colOff>516731</xdr:colOff>
      <xdr:row>19</xdr:row>
      <xdr:rowOff>19050</xdr:rowOff>
    </xdr:from>
    <xdr:to>
      <xdr:col>17</xdr:col>
      <xdr:colOff>19050</xdr:colOff>
      <xdr:row>31</xdr:row>
      <xdr:rowOff>126207</xdr:rowOff>
    </xdr:to>
    <xdr:grpSp>
      <xdr:nvGrpSpPr>
        <xdr:cNvPr id="5" name="Agrupar 4"/>
        <xdr:cNvGrpSpPr/>
      </xdr:nvGrpSpPr>
      <xdr:grpSpPr>
        <a:xfrm>
          <a:off x="7593806" y="3390900"/>
          <a:ext cx="4807744" cy="2278857"/>
          <a:chOff x="7593806" y="3390900"/>
          <a:chExt cx="4807744" cy="2278857"/>
        </a:xfrm>
      </xdr:grpSpPr>
      <xdr:sp macro="" textlink="">
        <xdr:nvSpPr>
          <xdr:cNvPr id="45" name="Retângulo: Cantos Arredondados 20">
            <a:extLst>
              <a:ext uri="{FF2B5EF4-FFF2-40B4-BE49-F238E27FC236}">
                <a16:creationId xmlns:a16="http://schemas.microsoft.com/office/drawing/2014/main" id="{A66F6E5F-021B-034F-BDBE-412F89DE8543}"/>
              </a:ext>
            </a:extLst>
          </xdr:cNvPr>
          <xdr:cNvSpPr/>
        </xdr:nvSpPr>
        <xdr:spPr>
          <a:xfrm>
            <a:off x="7593806" y="3390900"/>
            <a:ext cx="4807744" cy="2278857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46" name="Retângulo: Cantos Arredondados 21">
            <a:extLst>
              <a:ext uri="{FF2B5EF4-FFF2-40B4-BE49-F238E27FC236}">
                <a16:creationId xmlns:a16="http://schemas.microsoft.com/office/drawing/2014/main" id="{338342F4-73EE-962B-63B1-5B4F29A7A23B}"/>
              </a:ext>
            </a:extLst>
          </xdr:cNvPr>
          <xdr:cNvSpPr/>
        </xdr:nvSpPr>
        <xdr:spPr>
          <a:xfrm>
            <a:off x="8813849" y="3811019"/>
            <a:ext cx="3125648" cy="912971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R$ 1.800,00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835086" y="3916162"/>
            <a:ext cx="1118936" cy="564843"/>
            <a:chOff x="3495675" y="5400674"/>
            <a:chExt cx="1549476" cy="752476"/>
          </a:xfrm>
        </xdr:grpSpPr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4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xmlns="" r:embed="rId9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52" name="CaixaDeTexto 51"/>
          <xdr:cNvSpPr txBox="1"/>
        </xdr:nvSpPr>
        <xdr:spPr>
          <a:xfrm>
            <a:off x="7772400" y="3552825"/>
            <a:ext cx="35814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chemeClr val="bg1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Total Minecraft Season Pass Subscriptions Sales</a:t>
            </a:r>
            <a:endParaRPr lang="pt-BR" sz="1200" b="0">
              <a:solidFill>
                <a:schemeClr val="bg1">
                  <a:lumMod val="50000"/>
                </a:schemeClr>
              </a:solidFill>
            </a:endParaRPr>
          </a:p>
        </xdr:txBody>
      </xdr:sp>
      <xdr:graphicFrame macro="">
        <xdr:nvGraphicFramePr>
          <xdr:cNvPr id="53" name="Gráfico 52"/>
          <xdr:cNvGraphicFramePr>
            <a:graphicFrameLocks/>
          </xdr:cNvGraphicFramePr>
        </xdr:nvGraphicFramePr>
        <xdr:xfrm>
          <a:off x="7708106" y="4448175"/>
          <a:ext cx="4572000" cy="1162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9</xdr:col>
      <xdr:colOff>657225</xdr:colOff>
      <xdr:row>8</xdr:row>
      <xdr:rowOff>0</xdr:rowOff>
    </xdr:from>
    <xdr:to>
      <xdr:col>15</xdr:col>
      <xdr:colOff>428625</xdr:colOff>
      <xdr:row>9</xdr:row>
      <xdr:rowOff>95250</xdr:rowOff>
    </xdr:to>
    <xdr:sp macro="" textlink="">
      <xdr:nvSpPr>
        <xdr:cNvPr id="39" name="CaixaDeTexto 38"/>
        <xdr:cNvSpPr txBox="1"/>
      </xdr:nvSpPr>
      <xdr:spPr>
        <a:xfrm>
          <a:off x="7734300" y="1381125"/>
          <a:ext cx="37052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Xbox Season Pass </a:t>
          </a:r>
          <a:r>
            <a:rPr lang="pt-B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Subscriptions</a:t>
          </a:r>
          <a:endParaRPr lang="pt-BR" sz="1200" b="0">
            <a:solidFill>
              <a:schemeClr val="bg1">
                <a:lumMod val="50000"/>
              </a:schemeClr>
            </a:solidFill>
            <a:effectLst/>
          </a:endParaRPr>
        </a:p>
        <a:p>
          <a:endParaRPr lang="pt-BR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180975</xdr:colOff>
      <xdr:row>7</xdr:row>
      <xdr:rowOff>19050</xdr:rowOff>
    </xdr:from>
    <xdr:to>
      <xdr:col>16</xdr:col>
      <xdr:colOff>628651</xdr:colOff>
      <xdr:row>11</xdr:row>
      <xdr:rowOff>161925</xdr:rowOff>
    </xdr:to>
    <xdr:sp macro="" textlink="C̳álculos!E103">
      <xdr:nvSpPr>
        <xdr:cNvPr id="41" name="Retângulo: Cantos Arredondados 15">
          <a:extLst>
            <a:ext uri="{FF2B5EF4-FFF2-40B4-BE49-F238E27FC236}">
              <a16:creationId xmlns:a16="http://schemas.microsoft.com/office/drawing/2014/main" id="{61552D02-77C9-4CE7-8E23-3B04A00EEA4C}"/>
            </a:ext>
          </a:extLst>
        </xdr:cNvPr>
        <xdr:cNvSpPr/>
      </xdr:nvSpPr>
      <xdr:spPr>
        <a:xfrm>
          <a:off x="10506075" y="1257300"/>
          <a:ext cx="1819276" cy="828675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1224D5C-75B6-429B-962D-FEEA8C5761EC}" type="TxLink">
            <a:rPr lang="en-US" sz="4000" b="0" i="0" u="none" strike="noStrike" kern="1200">
              <a:solidFill>
                <a:srgbClr val="22C55E"/>
              </a:solidFill>
              <a:latin typeface="Aptos Narrow"/>
            </a:rPr>
            <a:pPr algn="ctr"/>
            <a:t>139</a:t>
          </a:fld>
          <a:endParaRPr lang="pt-BR" sz="40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9</xdr:col>
      <xdr:colOff>650081</xdr:colOff>
      <xdr:row>10</xdr:row>
      <xdr:rowOff>38100</xdr:rowOff>
    </xdr:from>
    <xdr:to>
      <xdr:col>16</xdr:col>
      <xdr:colOff>602456</xdr:colOff>
      <xdr:row>17</xdr:row>
      <xdr:rowOff>62399</xdr:rowOff>
    </xdr:to>
    <xdr:graphicFrame macro="">
      <xdr:nvGraphicFramePr>
        <xdr:cNvPr id="47" name="Gráfico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0</xdr:col>
      <xdr:colOff>119181</xdr:colOff>
      <xdr:row>6</xdr:row>
      <xdr:rowOff>75880</xdr:rowOff>
    </xdr:from>
    <xdr:to>
      <xdr:col>0</xdr:col>
      <xdr:colOff>1866900</xdr:colOff>
      <xdr:row>8</xdr:row>
      <xdr:rowOff>38580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19181" y="1190305"/>
          <a:ext cx="174771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0" kern="1200"/>
            <a:t>vivian@company.com.br</a:t>
          </a:r>
        </a:p>
      </xdr:txBody>
    </xdr:sp>
    <xdr:clientData/>
  </xdr:twoCellAnchor>
  <xdr:twoCellAnchor editAs="absolute">
    <xdr:from>
      <xdr:col>0</xdr:col>
      <xdr:colOff>581025</xdr:colOff>
      <xdr:row>0</xdr:row>
      <xdr:rowOff>142875</xdr:rowOff>
    </xdr:from>
    <xdr:to>
      <xdr:col>0</xdr:col>
      <xdr:colOff>1333500</xdr:colOff>
      <xdr:row>4</xdr:row>
      <xdr:rowOff>9525</xdr:rowOff>
    </xdr:to>
    <xdr:pic>
      <xdr:nvPicPr>
        <xdr:cNvPr id="55" name="Imagem 5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752475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9.822018865743" createdVersion="8" refreshedVersion="6" minRefreshableVersion="3" recordCount="295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Qtde EA Play Season" numFmtId="0">
      <sharedItems containsSemiMixedTypes="0" containsString="0" containsNumber="1" containsInteger="1" minValue="0" maxValue="1"/>
    </cacheField>
    <cacheField name="Qtde Minecraft" numFmtId="0">
      <sharedItems containsSemiMixedTypes="0" containsString="0" containsNumber="1" containsInteger="1" minValue="0" maxValue="1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x v="0"/>
    <x v="0"/>
    <n v="15"/>
    <x v="0"/>
    <x v="0"/>
    <n v="30"/>
    <x v="0"/>
    <n v="20"/>
    <n v="5"/>
    <n v="60"/>
    <n v="1"/>
    <n v="1"/>
  </r>
  <r>
    <n v="3232"/>
    <s v="Maria Oliveira"/>
    <x v="1"/>
    <x v="1"/>
    <x v="1"/>
    <n v="5"/>
    <x v="1"/>
    <x v="1"/>
    <s v="-"/>
    <x v="1"/>
    <n v="0"/>
    <n v="0"/>
    <n v="5"/>
    <n v="0"/>
    <n v="0"/>
  </r>
  <r>
    <n v="3233"/>
    <s v="Lucas Fernandes"/>
    <x v="2"/>
    <x v="2"/>
    <x v="0"/>
    <n v="10"/>
    <x v="2"/>
    <x v="1"/>
    <s v="-"/>
    <x v="0"/>
    <n v="20"/>
    <n v="10"/>
    <n v="20"/>
    <n v="0"/>
    <n v="1"/>
  </r>
  <r>
    <n v="3234"/>
    <s v="Ana Souza"/>
    <x v="0"/>
    <x v="3"/>
    <x v="1"/>
    <n v="15"/>
    <x v="0"/>
    <x v="0"/>
    <n v="30"/>
    <x v="0"/>
    <n v="20"/>
    <n v="3"/>
    <n v="62"/>
    <n v="1"/>
    <n v="1"/>
  </r>
  <r>
    <n v="3235"/>
    <s v="Pedro Gonçalves"/>
    <x v="1"/>
    <x v="4"/>
    <x v="0"/>
    <n v="5"/>
    <x v="0"/>
    <x v="1"/>
    <s v="-"/>
    <x v="1"/>
    <n v="0"/>
    <n v="1"/>
    <n v="4"/>
    <n v="0"/>
    <n v="0"/>
  </r>
  <r>
    <n v="3236"/>
    <s v="Felipe Costa"/>
    <x v="2"/>
    <x v="5"/>
    <x v="1"/>
    <n v="10"/>
    <x v="0"/>
    <x v="1"/>
    <s v="-"/>
    <x v="0"/>
    <n v="20"/>
    <n v="2"/>
    <n v="28"/>
    <n v="0"/>
    <n v="1"/>
  </r>
  <r>
    <n v="3237"/>
    <s v="Camila Ribeiro"/>
    <x v="0"/>
    <x v="6"/>
    <x v="0"/>
    <n v="15"/>
    <x v="2"/>
    <x v="0"/>
    <n v="30"/>
    <x v="0"/>
    <n v="20"/>
    <n v="10"/>
    <n v="55"/>
    <n v="1"/>
    <n v="1"/>
  </r>
  <r>
    <n v="3238"/>
    <s v="André Mendes"/>
    <x v="1"/>
    <x v="7"/>
    <x v="0"/>
    <n v="5"/>
    <x v="1"/>
    <x v="1"/>
    <s v="-"/>
    <x v="1"/>
    <n v="0"/>
    <n v="0"/>
    <n v="5"/>
    <n v="0"/>
    <n v="0"/>
  </r>
  <r>
    <n v="3239"/>
    <s v="Sofia Almeida"/>
    <x v="0"/>
    <x v="4"/>
    <x v="1"/>
    <n v="15"/>
    <x v="0"/>
    <x v="0"/>
    <n v="30"/>
    <x v="0"/>
    <n v="20"/>
    <n v="5"/>
    <n v="60"/>
    <n v="1"/>
    <n v="1"/>
  </r>
  <r>
    <n v="3240"/>
    <s v="Bruno Martins"/>
    <x v="2"/>
    <x v="8"/>
    <x v="0"/>
    <n v="10"/>
    <x v="2"/>
    <x v="1"/>
    <s v="-"/>
    <x v="0"/>
    <n v="20"/>
    <n v="15"/>
    <n v="15"/>
    <n v="0"/>
    <n v="1"/>
  </r>
  <r>
    <n v="3241"/>
    <s v="Rita Castro"/>
    <x v="1"/>
    <x v="9"/>
    <x v="1"/>
    <n v="5"/>
    <x v="0"/>
    <x v="1"/>
    <s v="-"/>
    <x v="1"/>
    <n v="0"/>
    <n v="1"/>
    <n v="4"/>
    <n v="0"/>
    <n v="0"/>
  </r>
  <r>
    <n v="3242"/>
    <s v="Marco Túlio"/>
    <x v="0"/>
    <x v="10"/>
    <x v="0"/>
    <n v="15"/>
    <x v="1"/>
    <x v="0"/>
    <n v="30"/>
    <x v="0"/>
    <n v="20"/>
    <n v="20"/>
    <n v="45"/>
    <n v="1"/>
    <n v="1"/>
  </r>
  <r>
    <n v="3243"/>
    <s v="Lívia Silveira"/>
    <x v="2"/>
    <x v="11"/>
    <x v="1"/>
    <n v="10"/>
    <x v="0"/>
    <x v="1"/>
    <s v="-"/>
    <x v="0"/>
    <n v="20"/>
    <n v="10"/>
    <n v="20"/>
    <n v="0"/>
    <n v="1"/>
  </r>
  <r>
    <n v="3244"/>
    <s v="Diogo Sousa"/>
    <x v="1"/>
    <x v="12"/>
    <x v="0"/>
    <n v="5"/>
    <x v="2"/>
    <x v="1"/>
    <s v="-"/>
    <x v="1"/>
    <n v="0"/>
    <n v="0"/>
    <n v="5"/>
    <n v="0"/>
    <n v="0"/>
  </r>
  <r>
    <n v="3245"/>
    <s v="Fernanda Lima"/>
    <x v="0"/>
    <x v="13"/>
    <x v="1"/>
    <n v="15"/>
    <x v="0"/>
    <x v="0"/>
    <n v="30"/>
    <x v="0"/>
    <n v="20"/>
    <n v="8"/>
    <n v="57"/>
    <n v="1"/>
    <n v="1"/>
  </r>
  <r>
    <n v="3246"/>
    <s v="Caio Pereira"/>
    <x v="2"/>
    <x v="14"/>
    <x v="0"/>
    <n v="10"/>
    <x v="1"/>
    <x v="1"/>
    <s v="-"/>
    <x v="0"/>
    <n v="20"/>
    <n v="12"/>
    <n v="18"/>
    <n v="0"/>
    <n v="1"/>
  </r>
  <r>
    <n v="3247"/>
    <s v="Beatriz Gomes"/>
    <x v="1"/>
    <x v="15"/>
    <x v="1"/>
    <n v="5"/>
    <x v="0"/>
    <x v="1"/>
    <s v="-"/>
    <x v="1"/>
    <n v="0"/>
    <n v="2"/>
    <n v="3"/>
    <n v="0"/>
    <n v="0"/>
  </r>
  <r>
    <n v="3248"/>
    <s v="Cesar Oliveira"/>
    <x v="0"/>
    <x v="16"/>
    <x v="0"/>
    <n v="15"/>
    <x v="2"/>
    <x v="0"/>
    <n v="30"/>
    <x v="0"/>
    <n v="20"/>
    <n v="7"/>
    <n v="58"/>
    <n v="1"/>
    <n v="1"/>
  </r>
  <r>
    <n v="3249"/>
    <s v="Débora Machado"/>
    <x v="2"/>
    <x v="17"/>
    <x v="1"/>
    <n v="10"/>
    <x v="0"/>
    <x v="1"/>
    <s v="-"/>
    <x v="0"/>
    <n v="20"/>
    <n v="5"/>
    <n v="25"/>
    <n v="0"/>
    <n v="1"/>
  </r>
  <r>
    <n v="3250"/>
    <s v="Eduardo Vargas"/>
    <x v="1"/>
    <x v="18"/>
    <x v="0"/>
    <n v="5"/>
    <x v="1"/>
    <x v="1"/>
    <s v="-"/>
    <x v="1"/>
    <n v="0"/>
    <n v="0"/>
    <n v="5"/>
    <n v="0"/>
    <n v="0"/>
  </r>
  <r>
    <n v="3251"/>
    <s v="Gabriela Santos"/>
    <x v="0"/>
    <x v="19"/>
    <x v="1"/>
    <n v="15"/>
    <x v="0"/>
    <x v="0"/>
    <n v="30"/>
    <x v="0"/>
    <n v="20"/>
    <n v="3"/>
    <n v="62"/>
    <n v="1"/>
    <n v="1"/>
  </r>
  <r>
    <n v="3252"/>
    <s v="Henrique Dias"/>
    <x v="2"/>
    <x v="20"/>
    <x v="0"/>
    <n v="10"/>
    <x v="2"/>
    <x v="1"/>
    <s v="-"/>
    <x v="0"/>
    <n v="20"/>
    <n v="15"/>
    <n v="15"/>
    <n v="0"/>
    <n v="1"/>
  </r>
  <r>
    <n v="3253"/>
    <s v="Isabela Moreira"/>
    <x v="1"/>
    <x v="21"/>
    <x v="1"/>
    <n v="5"/>
    <x v="0"/>
    <x v="1"/>
    <s v="-"/>
    <x v="1"/>
    <n v="0"/>
    <n v="1"/>
    <n v="4"/>
    <n v="0"/>
    <n v="0"/>
  </r>
  <r>
    <n v="3254"/>
    <s v="Joaquim Barbosa"/>
    <x v="0"/>
    <x v="22"/>
    <x v="0"/>
    <n v="15"/>
    <x v="1"/>
    <x v="0"/>
    <n v="30"/>
    <x v="0"/>
    <n v="20"/>
    <n v="20"/>
    <n v="45"/>
    <n v="1"/>
    <n v="1"/>
  </r>
  <r>
    <n v="3255"/>
    <s v="Lara Rocha"/>
    <x v="2"/>
    <x v="23"/>
    <x v="1"/>
    <n v="10"/>
    <x v="0"/>
    <x v="1"/>
    <s v="-"/>
    <x v="0"/>
    <n v="20"/>
    <n v="10"/>
    <n v="20"/>
    <n v="0"/>
    <n v="1"/>
  </r>
  <r>
    <n v="3256"/>
    <s v="Matheus Silva"/>
    <x v="1"/>
    <x v="24"/>
    <x v="0"/>
    <n v="5"/>
    <x v="2"/>
    <x v="1"/>
    <s v="-"/>
    <x v="1"/>
    <n v="0"/>
    <n v="0"/>
    <n v="5"/>
    <n v="0"/>
    <n v="0"/>
  </r>
  <r>
    <n v="3257"/>
    <s v="Nicole Costa"/>
    <x v="0"/>
    <x v="25"/>
    <x v="1"/>
    <n v="15"/>
    <x v="0"/>
    <x v="0"/>
    <n v="30"/>
    <x v="0"/>
    <n v="20"/>
    <n v="5"/>
    <n v="60"/>
    <n v="1"/>
    <n v="1"/>
  </r>
  <r>
    <n v="3258"/>
    <s v="Otávio Mendonça"/>
    <x v="2"/>
    <x v="26"/>
    <x v="0"/>
    <n v="10"/>
    <x v="1"/>
    <x v="1"/>
    <s v="-"/>
    <x v="0"/>
    <n v="20"/>
    <n v="15"/>
    <n v="15"/>
    <n v="0"/>
    <n v="1"/>
  </r>
  <r>
    <n v="3259"/>
    <s v="Paula Ferreira"/>
    <x v="1"/>
    <x v="27"/>
    <x v="1"/>
    <n v="5"/>
    <x v="0"/>
    <x v="1"/>
    <s v="-"/>
    <x v="1"/>
    <n v="0"/>
    <n v="1"/>
    <n v="4"/>
    <n v="0"/>
    <n v="0"/>
  </r>
  <r>
    <n v="3260"/>
    <s v="Raquel Alves"/>
    <x v="0"/>
    <x v="28"/>
    <x v="0"/>
    <n v="15"/>
    <x v="2"/>
    <x v="0"/>
    <n v="30"/>
    <x v="0"/>
    <n v="20"/>
    <n v="7"/>
    <n v="58"/>
    <n v="1"/>
    <n v="1"/>
  </r>
  <r>
    <n v="3261"/>
    <s v="Samuel Pires"/>
    <x v="2"/>
    <x v="29"/>
    <x v="1"/>
    <n v="10"/>
    <x v="0"/>
    <x v="1"/>
    <s v="-"/>
    <x v="0"/>
    <n v="20"/>
    <n v="10"/>
    <n v="20"/>
    <n v="0"/>
    <n v="1"/>
  </r>
  <r>
    <n v="3262"/>
    <s v="Tânia Barros"/>
    <x v="1"/>
    <x v="30"/>
    <x v="0"/>
    <n v="5"/>
    <x v="1"/>
    <x v="1"/>
    <s v="-"/>
    <x v="1"/>
    <n v="0"/>
    <n v="0"/>
    <n v="5"/>
    <n v="0"/>
    <n v="0"/>
  </r>
  <r>
    <n v="3263"/>
    <s v="Vinicius Lima"/>
    <x v="0"/>
    <x v="31"/>
    <x v="1"/>
    <n v="15"/>
    <x v="0"/>
    <x v="0"/>
    <n v="30"/>
    <x v="0"/>
    <n v="20"/>
    <n v="3"/>
    <n v="62"/>
    <n v="1"/>
    <n v="1"/>
  </r>
  <r>
    <n v="3264"/>
    <s v="Yasmin Teixeira"/>
    <x v="2"/>
    <x v="32"/>
    <x v="0"/>
    <n v="10"/>
    <x v="2"/>
    <x v="1"/>
    <s v="-"/>
    <x v="0"/>
    <n v="20"/>
    <n v="15"/>
    <n v="15"/>
    <n v="0"/>
    <n v="1"/>
  </r>
  <r>
    <n v="3265"/>
    <s v="Zé Carlos"/>
    <x v="1"/>
    <x v="33"/>
    <x v="1"/>
    <n v="5"/>
    <x v="0"/>
    <x v="1"/>
    <s v="-"/>
    <x v="1"/>
    <n v="0"/>
    <n v="1"/>
    <n v="4"/>
    <n v="0"/>
    <n v="0"/>
  </r>
  <r>
    <n v="3266"/>
    <s v="Amanda Nogueira"/>
    <x v="1"/>
    <x v="34"/>
    <x v="0"/>
    <n v="5"/>
    <x v="0"/>
    <x v="1"/>
    <s v="-"/>
    <x v="1"/>
    <n v="0"/>
    <n v="0"/>
    <n v="5"/>
    <n v="0"/>
    <n v="0"/>
  </r>
  <r>
    <n v="3267"/>
    <s v="Bruno Cavalheiro"/>
    <x v="0"/>
    <x v="35"/>
    <x v="1"/>
    <n v="15"/>
    <x v="2"/>
    <x v="0"/>
    <n v="30"/>
    <x v="0"/>
    <n v="20"/>
    <n v="7"/>
    <n v="58"/>
    <n v="1"/>
    <n v="1"/>
  </r>
  <r>
    <n v="3268"/>
    <s v="Carla Dias"/>
    <x v="2"/>
    <x v="36"/>
    <x v="0"/>
    <n v="10"/>
    <x v="1"/>
    <x v="1"/>
    <s v="-"/>
    <x v="0"/>
    <n v="20"/>
    <n v="10"/>
    <n v="20"/>
    <n v="0"/>
    <n v="1"/>
  </r>
  <r>
    <n v="3269"/>
    <s v="Diego Fontes"/>
    <x v="1"/>
    <x v="37"/>
    <x v="1"/>
    <n v="5"/>
    <x v="2"/>
    <x v="1"/>
    <s v="-"/>
    <x v="1"/>
    <n v="0"/>
    <n v="1"/>
    <n v="4"/>
    <n v="0"/>
    <n v="0"/>
  </r>
  <r>
    <n v="3270"/>
    <s v="Eunice Lima"/>
    <x v="0"/>
    <x v="38"/>
    <x v="0"/>
    <n v="15"/>
    <x v="0"/>
    <x v="0"/>
    <n v="30"/>
    <x v="0"/>
    <n v="20"/>
    <n v="15"/>
    <n v="50"/>
    <n v="1"/>
    <n v="1"/>
  </r>
  <r>
    <n v="3271"/>
    <s v="Fábio Martins"/>
    <x v="2"/>
    <x v="39"/>
    <x v="1"/>
    <n v="10"/>
    <x v="0"/>
    <x v="1"/>
    <s v="-"/>
    <x v="0"/>
    <n v="20"/>
    <n v="5"/>
    <n v="25"/>
    <n v="0"/>
    <n v="1"/>
  </r>
  <r>
    <n v="3272"/>
    <s v="Gisele Araújo"/>
    <x v="1"/>
    <x v="40"/>
    <x v="0"/>
    <n v="5"/>
    <x v="1"/>
    <x v="1"/>
    <s v="-"/>
    <x v="1"/>
    <n v="0"/>
    <n v="0"/>
    <n v="5"/>
    <n v="0"/>
    <n v="0"/>
  </r>
  <r>
    <n v="3273"/>
    <s v="Hélio Castro"/>
    <x v="0"/>
    <x v="41"/>
    <x v="1"/>
    <n v="15"/>
    <x v="2"/>
    <x v="0"/>
    <n v="30"/>
    <x v="0"/>
    <n v="20"/>
    <n v="20"/>
    <n v="45"/>
    <n v="1"/>
    <n v="1"/>
  </r>
  <r>
    <n v="3274"/>
    <s v="Ingrid Menezes"/>
    <x v="2"/>
    <x v="42"/>
    <x v="0"/>
    <n v="10"/>
    <x v="2"/>
    <x v="1"/>
    <s v="-"/>
    <x v="0"/>
    <n v="20"/>
    <n v="12"/>
    <n v="18"/>
    <n v="0"/>
    <n v="1"/>
  </r>
  <r>
    <n v="3275"/>
    <s v="Jorge Baptista"/>
    <x v="1"/>
    <x v="43"/>
    <x v="1"/>
    <n v="5"/>
    <x v="0"/>
    <x v="1"/>
    <s v="-"/>
    <x v="1"/>
    <n v="0"/>
    <n v="2"/>
    <n v="3"/>
    <n v="0"/>
    <n v="0"/>
  </r>
  <r>
    <n v="3276"/>
    <s v="Kléber Oliveira"/>
    <x v="0"/>
    <x v="44"/>
    <x v="0"/>
    <n v="15"/>
    <x v="1"/>
    <x v="0"/>
    <n v="30"/>
    <x v="0"/>
    <n v="20"/>
    <n v="5"/>
    <n v="60"/>
    <n v="1"/>
    <n v="1"/>
  </r>
  <r>
    <n v="3277"/>
    <s v="Luciana Freitas"/>
    <x v="2"/>
    <x v="45"/>
    <x v="1"/>
    <n v="10"/>
    <x v="0"/>
    <x v="1"/>
    <s v="-"/>
    <x v="0"/>
    <n v="20"/>
    <n v="10"/>
    <n v="20"/>
    <n v="0"/>
    <n v="1"/>
  </r>
  <r>
    <n v="3278"/>
    <s v="Márcia Eller"/>
    <x v="1"/>
    <x v="46"/>
    <x v="0"/>
    <n v="5"/>
    <x v="2"/>
    <x v="1"/>
    <s v="-"/>
    <x v="1"/>
    <n v="0"/>
    <n v="0"/>
    <n v="5"/>
    <n v="0"/>
    <n v="0"/>
  </r>
  <r>
    <n v="3279"/>
    <s v="Nilo Peçanha"/>
    <x v="0"/>
    <x v="47"/>
    <x v="1"/>
    <n v="15"/>
    <x v="0"/>
    <x v="0"/>
    <n v="30"/>
    <x v="0"/>
    <n v="20"/>
    <n v="3"/>
    <n v="62"/>
    <n v="1"/>
    <n v="1"/>
  </r>
  <r>
    <n v="3280"/>
    <s v="Oscar Neves"/>
    <x v="2"/>
    <x v="48"/>
    <x v="0"/>
    <n v="10"/>
    <x v="1"/>
    <x v="1"/>
    <s v="-"/>
    <x v="0"/>
    <n v="20"/>
    <n v="15"/>
    <n v="15"/>
    <n v="0"/>
    <n v="1"/>
  </r>
  <r>
    <n v="3281"/>
    <s v="Patrícia Soares"/>
    <x v="1"/>
    <x v="49"/>
    <x v="1"/>
    <n v="5"/>
    <x v="0"/>
    <x v="1"/>
    <s v="-"/>
    <x v="1"/>
    <n v="0"/>
    <n v="1"/>
    <n v="4"/>
    <n v="0"/>
    <n v="0"/>
  </r>
  <r>
    <n v="3282"/>
    <s v="Quirino Gonçalves"/>
    <x v="0"/>
    <x v="50"/>
    <x v="0"/>
    <n v="15"/>
    <x v="2"/>
    <x v="0"/>
    <n v="30"/>
    <x v="0"/>
    <n v="20"/>
    <n v="7"/>
    <n v="58"/>
    <n v="1"/>
    <n v="1"/>
  </r>
  <r>
    <n v="3283"/>
    <s v="Raul Machado"/>
    <x v="2"/>
    <x v="51"/>
    <x v="1"/>
    <n v="10"/>
    <x v="0"/>
    <x v="1"/>
    <s v="-"/>
    <x v="0"/>
    <n v="20"/>
    <n v="10"/>
    <n v="20"/>
    <n v="0"/>
    <n v="1"/>
  </r>
  <r>
    <n v="3284"/>
    <s v="Sônia Lobo"/>
    <x v="1"/>
    <x v="52"/>
    <x v="0"/>
    <n v="5"/>
    <x v="1"/>
    <x v="1"/>
    <s v="-"/>
    <x v="1"/>
    <n v="0"/>
    <n v="0"/>
    <n v="5"/>
    <n v="0"/>
    <n v="0"/>
  </r>
  <r>
    <n v="3285"/>
    <s v="Tiago Ramos"/>
    <x v="0"/>
    <x v="53"/>
    <x v="1"/>
    <n v="15"/>
    <x v="0"/>
    <x v="0"/>
    <n v="30"/>
    <x v="0"/>
    <n v="20"/>
    <n v="20"/>
    <n v="45"/>
    <n v="1"/>
    <n v="1"/>
  </r>
  <r>
    <n v="3286"/>
    <s v="Ugo Pires"/>
    <x v="2"/>
    <x v="54"/>
    <x v="0"/>
    <n v="10"/>
    <x v="2"/>
    <x v="1"/>
    <s v="-"/>
    <x v="0"/>
    <n v="20"/>
    <n v="15"/>
    <n v="15"/>
    <n v="0"/>
    <n v="1"/>
  </r>
  <r>
    <n v="3287"/>
    <s v="Valéria Nobre"/>
    <x v="1"/>
    <x v="55"/>
    <x v="1"/>
    <n v="5"/>
    <x v="0"/>
    <x v="1"/>
    <s v="-"/>
    <x v="1"/>
    <n v="0"/>
    <n v="1"/>
    <n v="4"/>
    <n v="0"/>
    <n v="0"/>
  </r>
  <r>
    <n v="3288"/>
    <s v="William Siqueira"/>
    <x v="0"/>
    <x v="56"/>
    <x v="0"/>
    <n v="15"/>
    <x v="1"/>
    <x v="0"/>
    <n v="30"/>
    <x v="0"/>
    <n v="20"/>
    <n v="3"/>
    <n v="62"/>
    <n v="1"/>
    <n v="1"/>
  </r>
  <r>
    <n v="3289"/>
    <s v="Xuxa Meneghel"/>
    <x v="2"/>
    <x v="57"/>
    <x v="1"/>
    <n v="10"/>
    <x v="0"/>
    <x v="1"/>
    <s v="-"/>
    <x v="0"/>
    <n v="20"/>
    <n v="10"/>
    <n v="20"/>
    <n v="0"/>
    <n v="1"/>
  </r>
  <r>
    <n v="3290"/>
    <s v="Yara Figueiredo"/>
    <x v="1"/>
    <x v="58"/>
    <x v="0"/>
    <n v="5"/>
    <x v="2"/>
    <x v="1"/>
    <s v="-"/>
    <x v="1"/>
    <n v="0"/>
    <n v="0"/>
    <n v="5"/>
    <n v="0"/>
    <n v="0"/>
  </r>
  <r>
    <n v="3291"/>
    <s v="Zacarias Alves"/>
    <x v="0"/>
    <x v="59"/>
    <x v="1"/>
    <n v="15"/>
    <x v="0"/>
    <x v="0"/>
    <n v="30"/>
    <x v="0"/>
    <n v="20"/>
    <n v="5"/>
    <n v="60"/>
    <n v="1"/>
    <n v="1"/>
  </r>
  <r>
    <n v="3292"/>
    <s v="Amanda Bynes"/>
    <x v="2"/>
    <x v="60"/>
    <x v="0"/>
    <n v="10"/>
    <x v="1"/>
    <x v="1"/>
    <s v="-"/>
    <x v="0"/>
    <n v="20"/>
    <n v="15"/>
    <n v="15"/>
    <n v="0"/>
    <n v="1"/>
  </r>
  <r>
    <n v="3293"/>
    <s v="Bruno Mars"/>
    <x v="1"/>
    <x v="61"/>
    <x v="1"/>
    <n v="5"/>
    <x v="0"/>
    <x v="1"/>
    <s v="-"/>
    <x v="1"/>
    <n v="0"/>
    <n v="1"/>
    <n v="4"/>
    <n v="0"/>
    <n v="0"/>
  </r>
  <r>
    <n v="3294"/>
    <s v="Carla Bruni"/>
    <x v="0"/>
    <x v="62"/>
    <x v="0"/>
    <n v="15"/>
    <x v="2"/>
    <x v="0"/>
    <n v="30"/>
    <x v="0"/>
    <n v="20"/>
    <n v="20"/>
    <n v="45"/>
    <n v="1"/>
    <n v="1"/>
  </r>
  <r>
    <n v="3295"/>
    <s v="Diego Maradona"/>
    <x v="2"/>
    <x v="63"/>
    <x v="1"/>
    <n v="10"/>
    <x v="0"/>
    <x v="1"/>
    <s v="-"/>
    <x v="0"/>
    <n v="20"/>
    <n v="5"/>
    <n v="25"/>
    <n v="0"/>
    <n v="1"/>
  </r>
  <r>
    <n v="3296"/>
    <s v="Estela Marques"/>
    <x v="1"/>
    <x v="64"/>
    <x v="1"/>
    <n v="5"/>
    <x v="0"/>
    <x v="1"/>
    <s v="-"/>
    <x v="1"/>
    <n v="0"/>
    <n v="0"/>
    <n v="5"/>
    <n v="0"/>
    <n v="0"/>
  </r>
  <r>
    <n v="3297"/>
    <s v="Fábio Nobre"/>
    <x v="0"/>
    <x v="65"/>
    <x v="0"/>
    <n v="15"/>
    <x v="2"/>
    <x v="0"/>
    <n v="30"/>
    <x v="0"/>
    <n v="20"/>
    <n v="7"/>
    <n v="58"/>
    <n v="1"/>
    <n v="1"/>
  </r>
  <r>
    <n v="3298"/>
    <s v="Gabriel Oliveira"/>
    <x v="2"/>
    <x v="66"/>
    <x v="1"/>
    <n v="10"/>
    <x v="1"/>
    <x v="1"/>
    <s v="-"/>
    <x v="0"/>
    <n v="20"/>
    <n v="10"/>
    <n v="20"/>
    <n v="0"/>
    <n v="1"/>
  </r>
  <r>
    <n v="3299"/>
    <s v="Helena Santos"/>
    <x v="1"/>
    <x v="67"/>
    <x v="0"/>
    <n v="5"/>
    <x v="2"/>
    <x v="1"/>
    <s v="-"/>
    <x v="1"/>
    <n v="0"/>
    <n v="1"/>
    <n v="4"/>
    <n v="0"/>
    <n v="0"/>
  </r>
  <r>
    <n v="3300"/>
    <s v="Ivan Carvalho"/>
    <x v="0"/>
    <x v="68"/>
    <x v="1"/>
    <n v="15"/>
    <x v="0"/>
    <x v="0"/>
    <n v="30"/>
    <x v="0"/>
    <n v="20"/>
    <n v="15"/>
    <n v="50"/>
    <n v="1"/>
    <n v="1"/>
  </r>
  <r>
    <n v="3301"/>
    <s v="Júlia Ferreira"/>
    <x v="2"/>
    <x v="69"/>
    <x v="0"/>
    <n v="10"/>
    <x v="0"/>
    <x v="1"/>
    <s v="-"/>
    <x v="0"/>
    <n v="20"/>
    <n v="5"/>
    <n v="25"/>
    <n v="0"/>
    <n v="1"/>
  </r>
  <r>
    <n v="3302"/>
    <s v="Karla Alves"/>
    <x v="1"/>
    <x v="70"/>
    <x v="1"/>
    <n v="5"/>
    <x v="1"/>
    <x v="1"/>
    <s v="-"/>
    <x v="1"/>
    <n v="0"/>
    <n v="0"/>
    <n v="5"/>
    <n v="0"/>
    <n v="0"/>
  </r>
  <r>
    <n v="3303"/>
    <s v="Lucas Mendes"/>
    <x v="0"/>
    <x v="71"/>
    <x v="0"/>
    <n v="15"/>
    <x v="2"/>
    <x v="0"/>
    <n v="30"/>
    <x v="0"/>
    <n v="20"/>
    <n v="20"/>
    <n v="45"/>
    <n v="1"/>
    <n v="1"/>
  </r>
  <r>
    <n v="3304"/>
    <s v="Mônica Gomes"/>
    <x v="2"/>
    <x v="72"/>
    <x v="1"/>
    <n v="10"/>
    <x v="2"/>
    <x v="1"/>
    <s v="-"/>
    <x v="0"/>
    <n v="20"/>
    <n v="12"/>
    <n v="18"/>
    <n v="0"/>
    <n v="1"/>
  </r>
  <r>
    <n v="3305"/>
    <s v="Norberto Queiroz"/>
    <x v="1"/>
    <x v="73"/>
    <x v="0"/>
    <n v="5"/>
    <x v="0"/>
    <x v="1"/>
    <s v="-"/>
    <x v="1"/>
    <n v="0"/>
    <n v="2"/>
    <n v="3"/>
    <n v="0"/>
    <n v="0"/>
  </r>
  <r>
    <n v="3306"/>
    <s v="Otávio Barros"/>
    <x v="0"/>
    <x v="74"/>
    <x v="1"/>
    <n v="15"/>
    <x v="1"/>
    <x v="0"/>
    <n v="30"/>
    <x v="0"/>
    <n v="20"/>
    <n v="5"/>
    <n v="60"/>
    <n v="1"/>
    <n v="1"/>
  </r>
  <r>
    <n v="3307"/>
    <s v="Paula Vieira"/>
    <x v="2"/>
    <x v="75"/>
    <x v="0"/>
    <n v="10"/>
    <x v="0"/>
    <x v="1"/>
    <s v="-"/>
    <x v="0"/>
    <n v="20"/>
    <n v="10"/>
    <n v="20"/>
    <n v="0"/>
    <n v="1"/>
  </r>
  <r>
    <n v="3308"/>
    <s v="Quentin Ramos"/>
    <x v="1"/>
    <x v="76"/>
    <x v="1"/>
    <n v="5"/>
    <x v="2"/>
    <x v="1"/>
    <s v="-"/>
    <x v="1"/>
    <n v="0"/>
    <n v="0"/>
    <n v="5"/>
    <n v="0"/>
    <n v="0"/>
  </r>
  <r>
    <n v="3309"/>
    <s v="Raquel Novaes"/>
    <x v="0"/>
    <x v="77"/>
    <x v="0"/>
    <n v="15"/>
    <x v="0"/>
    <x v="0"/>
    <n v="30"/>
    <x v="0"/>
    <n v="20"/>
    <n v="3"/>
    <n v="62"/>
    <n v="1"/>
    <n v="1"/>
  </r>
  <r>
    <n v="3310"/>
    <s v="Samantha Lopes"/>
    <x v="2"/>
    <x v="78"/>
    <x v="1"/>
    <n v="10"/>
    <x v="1"/>
    <x v="1"/>
    <s v="-"/>
    <x v="0"/>
    <n v="20"/>
    <n v="15"/>
    <n v="15"/>
    <n v="0"/>
    <n v="1"/>
  </r>
  <r>
    <n v="3311"/>
    <s v="Tiago Martins"/>
    <x v="1"/>
    <x v="79"/>
    <x v="0"/>
    <n v="5"/>
    <x v="0"/>
    <x v="1"/>
    <s v="-"/>
    <x v="1"/>
    <n v="0"/>
    <n v="1"/>
    <n v="4"/>
    <n v="0"/>
    <n v="0"/>
  </r>
  <r>
    <n v="3312"/>
    <s v="Ulysses Guimarães"/>
    <x v="0"/>
    <x v="80"/>
    <x v="1"/>
    <n v="15"/>
    <x v="2"/>
    <x v="0"/>
    <n v="30"/>
    <x v="0"/>
    <n v="20"/>
    <n v="7"/>
    <n v="58"/>
    <n v="1"/>
    <n v="1"/>
  </r>
  <r>
    <n v="3313"/>
    <s v="Vanessa Silva"/>
    <x v="2"/>
    <x v="81"/>
    <x v="0"/>
    <n v="10"/>
    <x v="0"/>
    <x v="1"/>
    <s v="-"/>
    <x v="0"/>
    <n v="20"/>
    <n v="10"/>
    <n v="20"/>
    <n v="0"/>
    <n v="1"/>
  </r>
  <r>
    <n v="3314"/>
    <s v="William Carneiro"/>
    <x v="1"/>
    <x v="82"/>
    <x v="1"/>
    <n v="5"/>
    <x v="1"/>
    <x v="1"/>
    <s v="-"/>
    <x v="1"/>
    <n v="0"/>
    <n v="0"/>
    <n v="5"/>
    <n v="0"/>
    <n v="0"/>
  </r>
  <r>
    <n v="3315"/>
    <s v="Ximena Rocha"/>
    <x v="0"/>
    <x v="83"/>
    <x v="0"/>
    <n v="15"/>
    <x v="0"/>
    <x v="0"/>
    <n v="30"/>
    <x v="0"/>
    <n v="20"/>
    <n v="20"/>
    <n v="45"/>
    <n v="1"/>
    <n v="1"/>
  </r>
  <r>
    <n v="3316"/>
    <s v="Yasmin Figueiredo"/>
    <x v="2"/>
    <x v="84"/>
    <x v="1"/>
    <n v="10"/>
    <x v="2"/>
    <x v="1"/>
    <s v="-"/>
    <x v="0"/>
    <n v="20"/>
    <n v="15"/>
    <n v="15"/>
    <n v="0"/>
    <n v="1"/>
  </r>
  <r>
    <n v="3317"/>
    <s v="Zara Cunha"/>
    <x v="1"/>
    <x v="85"/>
    <x v="0"/>
    <n v="5"/>
    <x v="0"/>
    <x v="1"/>
    <s v="-"/>
    <x v="1"/>
    <n v="0"/>
    <n v="1"/>
    <n v="4"/>
    <n v="0"/>
    <n v="0"/>
  </r>
  <r>
    <n v="3318"/>
    <s v="Alan Teixeira"/>
    <x v="0"/>
    <x v="86"/>
    <x v="1"/>
    <n v="15"/>
    <x v="1"/>
    <x v="0"/>
    <n v="30"/>
    <x v="0"/>
    <n v="20"/>
    <n v="3"/>
    <n v="62"/>
    <n v="1"/>
    <n v="1"/>
  </r>
  <r>
    <n v="3319"/>
    <s v="Bárbara Oliveira"/>
    <x v="2"/>
    <x v="87"/>
    <x v="0"/>
    <n v="10"/>
    <x v="0"/>
    <x v="1"/>
    <s v="-"/>
    <x v="0"/>
    <n v="20"/>
    <n v="10"/>
    <n v="20"/>
    <n v="0"/>
    <n v="1"/>
  </r>
  <r>
    <n v="3320"/>
    <s v="Carlos Junqueira"/>
    <x v="1"/>
    <x v="88"/>
    <x v="1"/>
    <n v="5"/>
    <x v="2"/>
    <x v="1"/>
    <s v="-"/>
    <x v="1"/>
    <n v="0"/>
    <n v="0"/>
    <n v="5"/>
    <n v="0"/>
    <n v="0"/>
  </r>
  <r>
    <n v="3321"/>
    <s v="Daniela Moura"/>
    <x v="0"/>
    <x v="89"/>
    <x v="0"/>
    <n v="15"/>
    <x v="0"/>
    <x v="0"/>
    <n v="30"/>
    <x v="0"/>
    <n v="20"/>
    <n v="5"/>
    <n v="60"/>
    <n v="1"/>
    <n v="1"/>
  </r>
  <r>
    <n v="3322"/>
    <s v="Eduardo Lima"/>
    <x v="2"/>
    <x v="90"/>
    <x v="1"/>
    <n v="10"/>
    <x v="1"/>
    <x v="1"/>
    <s v="-"/>
    <x v="0"/>
    <n v="20"/>
    <n v="15"/>
    <n v="15"/>
    <n v="0"/>
    <n v="1"/>
  </r>
  <r>
    <n v="3323"/>
    <s v="Fabiana Araújo"/>
    <x v="1"/>
    <x v="91"/>
    <x v="0"/>
    <n v="5"/>
    <x v="0"/>
    <x v="1"/>
    <s v="-"/>
    <x v="1"/>
    <n v="0"/>
    <n v="1"/>
    <n v="4"/>
    <n v="0"/>
    <n v="0"/>
  </r>
  <r>
    <n v="3324"/>
    <s v="Geraldo Ribeiro"/>
    <x v="0"/>
    <x v="92"/>
    <x v="1"/>
    <n v="15"/>
    <x v="2"/>
    <x v="0"/>
    <n v="30"/>
    <x v="0"/>
    <n v="20"/>
    <n v="20"/>
    <n v="45"/>
    <n v="1"/>
    <n v="1"/>
  </r>
  <r>
    <n v="3325"/>
    <s v="Héctor Vargas"/>
    <x v="2"/>
    <x v="93"/>
    <x v="0"/>
    <n v="10"/>
    <x v="2"/>
    <x v="1"/>
    <s v="-"/>
    <x v="0"/>
    <n v="20"/>
    <n v="15"/>
    <n v="15"/>
    <n v="0"/>
    <n v="1"/>
  </r>
  <r>
    <n v="3326"/>
    <s v="Isabela Fonseca"/>
    <x v="1"/>
    <x v="94"/>
    <x v="1"/>
    <n v="5"/>
    <x v="1"/>
    <x v="1"/>
    <s v="-"/>
    <x v="1"/>
    <n v="0"/>
    <n v="0"/>
    <n v="5"/>
    <n v="0"/>
    <n v="0"/>
  </r>
  <r>
    <n v="3327"/>
    <s v="João Pedro Almeida"/>
    <x v="0"/>
    <x v="95"/>
    <x v="0"/>
    <n v="15"/>
    <x v="0"/>
    <x v="0"/>
    <n v="30"/>
    <x v="0"/>
    <n v="20"/>
    <n v="7"/>
    <n v="58"/>
    <n v="1"/>
    <n v="1"/>
  </r>
  <r>
    <n v="3328"/>
    <s v="Klara Costa"/>
    <x v="2"/>
    <x v="96"/>
    <x v="1"/>
    <n v="10"/>
    <x v="1"/>
    <x v="1"/>
    <s v="-"/>
    <x v="0"/>
    <n v="20"/>
    <n v="10"/>
    <n v="20"/>
    <n v="0"/>
    <n v="1"/>
  </r>
  <r>
    <n v="3329"/>
    <s v="Luciana Mendes"/>
    <x v="1"/>
    <x v="97"/>
    <x v="0"/>
    <n v="5"/>
    <x v="2"/>
    <x v="1"/>
    <s v="-"/>
    <x v="1"/>
    <n v="0"/>
    <n v="1"/>
    <n v="4"/>
    <n v="0"/>
    <n v="0"/>
  </r>
  <r>
    <n v="3330"/>
    <s v="Marcelo Gouveia"/>
    <x v="0"/>
    <x v="98"/>
    <x v="1"/>
    <n v="15"/>
    <x v="0"/>
    <x v="0"/>
    <n v="30"/>
    <x v="0"/>
    <n v="20"/>
    <n v="15"/>
    <n v="50"/>
    <n v="1"/>
    <n v="1"/>
  </r>
  <r>
    <n v="3331"/>
    <s v="Nívea Borges"/>
    <x v="2"/>
    <x v="99"/>
    <x v="0"/>
    <n v="10"/>
    <x v="0"/>
    <x v="1"/>
    <s v="-"/>
    <x v="0"/>
    <n v="20"/>
    <n v="5"/>
    <n v="25"/>
    <n v="0"/>
    <n v="1"/>
  </r>
  <r>
    <n v="3332"/>
    <s v="Oscar Nogueira"/>
    <x v="1"/>
    <x v="100"/>
    <x v="1"/>
    <n v="5"/>
    <x v="1"/>
    <x v="1"/>
    <s v="-"/>
    <x v="1"/>
    <n v="0"/>
    <n v="0"/>
    <n v="5"/>
    <n v="0"/>
    <n v="0"/>
  </r>
  <r>
    <n v="3333"/>
    <s v="Patrícia Alves"/>
    <x v="0"/>
    <x v="101"/>
    <x v="0"/>
    <n v="15"/>
    <x v="2"/>
    <x v="0"/>
    <n v="30"/>
    <x v="0"/>
    <n v="20"/>
    <n v="20"/>
    <n v="45"/>
    <n v="1"/>
    <n v="1"/>
  </r>
  <r>
    <n v="3334"/>
    <s v="Rafaela Silva"/>
    <x v="2"/>
    <x v="102"/>
    <x v="1"/>
    <n v="10"/>
    <x v="2"/>
    <x v="1"/>
    <s v="-"/>
    <x v="0"/>
    <n v="20"/>
    <n v="12"/>
    <n v="18"/>
    <n v="0"/>
    <n v="1"/>
  </r>
  <r>
    <n v="3335"/>
    <s v="Samantha Moraes"/>
    <x v="1"/>
    <x v="103"/>
    <x v="0"/>
    <n v="5"/>
    <x v="0"/>
    <x v="1"/>
    <s v="-"/>
    <x v="1"/>
    <n v="0"/>
    <n v="2"/>
    <n v="3"/>
    <n v="0"/>
    <n v="0"/>
  </r>
  <r>
    <n v="3336"/>
    <s v="Tatiana Rocha"/>
    <x v="1"/>
    <x v="104"/>
    <x v="0"/>
    <n v="5"/>
    <x v="0"/>
    <x v="1"/>
    <s v="-"/>
    <x v="1"/>
    <n v="0"/>
    <n v="0"/>
    <n v="5"/>
    <n v="0"/>
    <n v="0"/>
  </r>
  <r>
    <n v="3337"/>
    <s v="Ulisses Tavares"/>
    <x v="0"/>
    <x v="105"/>
    <x v="1"/>
    <n v="15"/>
    <x v="2"/>
    <x v="0"/>
    <n v="30"/>
    <x v="0"/>
    <n v="20"/>
    <n v="7"/>
    <n v="58"/>
    <n v="1"/>
    <n v="1"/>
  </r>
  <r>
    <n v="3338"/>
    <s v="Víctor Lemos"/>
    <x v="2"/>
    <x v="106"/>
    <x v="0"/>
    <n v="10"/>
    <x v="1"/>
    <x v="1"/>
    <s v="-"/>
    <x v="0"/>
    <n v="20"/>
    <n v="10"/>
    <n v="20"/>
    <n v="0"/>
    <n v="1"/>
  </r>
  <r>
    <n v="3339"/>
    <s v="Wilma Barros"/>
    <x v="1"/>
    <x v="107"/>
    <x v="1"/>
    <n v="5"/>
    <x v="2"/>
    <x v="1"/>
    <s v="-"/>
    <x v="1"/>
    <n v="0"/>
    <n v="1"/>
    <n v="4"/>
    <n v="0"/>
    <n v="0"/>
  </r>
  <r>
    <n v="3340"/>
    <s v="Xavier Nascimento"/>
    <x v="0"/>
    <x v="108"/>
    <x v="0"/>
    <n v="15"/>
    <x v="0"/>
    <x v="0"/>
    <n v="30"/>
    <x v="0"/>
    <n v="20"/>
    <n v="15"/>
    <n v="50"/>
    <n v="1"/>
    <n v="1"/>
  </r>
  <r>
    <n v="3341"/>
    <s v="Yago Pereira"/>
    <x v="2"/>
    <x v="109"/>
    <x v="1"/>
    <n v="10"/>
    <x v="0"/>
    <x v="1"/>
    <s v="-"/>
    <x v="0"/>
    <n v="20"/>
    <n v="5"/>
    <n v="25"/>
    <n v="0"/>
    <n v="1"/>
  </r>
  <r>
    <n v="3342"/>
    <s v="Zilda Ferreira"/>
    <x v="1"/>
    <x v="110"/>
    <x v="0"/>
    <n v="5"/>
    <x v="1"/>
    <x v="1"/>
    <s v="-"/>
    <x v="1"/>
    <n v="0"/>
    <n v="0"/>
    <n v="5"/>
    <n v="0"/>
    <n v="0"/>
  </r>
  <r>
    <n v="3343"/>
    <s v="Amanda Lopes"/>
    <x v="0"/>
    <x v="111"/>
    <x v="1"/>
    <n v="15"/>
    <x v="2"/>
    <x v="0"/>
    <n v="30"/>
    <x v="0"/>
    <n v="20"/>
    <n v="20"/>
    <n v="45"/>
    <n v="1"/>
    <n v="1"/>
  </r>
  <r>
    <n v="3344"/>
    <s v="Bruno Miranda"/>
    <x v="2"/>
    <x v="112"/>
    <x v="0"/>
    <n v="10"/>
    <x v="2"/>
    <x v="1"/>
    <s v="-"/>
    <x v="0"/>
    <n v="20"/>
    <n v="12"/>
    <n v="18"/>
    <n v="0"/>
    <n v="1"/>
  </r>
  <r>
    <n v="3345"/>
    <s v="Célia Torres"/>
    <x v="1"/>
    <x v="113"/>
    <x v="1"/>
    <n v="5"/>
    <x v="0"/>
    <x v="1"/>
    <s v="-"/>
    <x v="1"/>
    <n v="0"/>
    <n v="2"/>
    <n v="3"/>
    <n v="0"/>
    <n v="0"/>
  </r>
  <r>
    <n v="3346"/>
    <s v="Diogo Souza"/>
    <x v="0"/>
    <x v="114"/>
    <x v="0"/>
    <n v="15"/>
    <x v="1"/>
    <x v="0"/>
    <n v="30"/>
    <x v="0"/>
    <n v="20"/>
    <n v="5"/>
    <n v="60"/>
    <n v="1"/>
    <n v="1"/>
  </r>
  <r>
    <n v="3347"/>
    <s v="Elisa Castro"/>
    <x v="2"/>
    <x v="115"/>
    <x v="1"/>
    <n v="10"/>
    <x v="0"/>
    <x v="1"/>
    <s v="-"/>
    <x v="0"/>
    <n v="20"/>
    <n v="10"/>
    <n v="20"/>
    <n v="0"/>
    <n v="1"/>
  </r>
  <r>
    <n v="3348"/>
    <s v="Fátima Lima"/>
    <x v="1"/>
    <x v="116"/>
    <x v="0"/>
    <n v="5"/>
    <x v="2"/>
    <x v="1"/>
    <s v="-"/>
    <x v="1"/>
    <n v="0"/>
    <n v="0"/>
    <n v="5"/>
    <n v="0"/>
    <n v="0"/>
  </r>
  <r>
    <n v="3349"/>
    <s v="Geraldo Ribeiro"/>
    <x v="0"/>
    <x v="117"/>
    <x v="1"/>
    <n v="15"/>
    <x v="0"/>
    <x v="0"/>
    <n v="30"/>
    <x v="0"/>
    <n v="20"/>
    <n v="3"/>
    <n v="62"/>
    <n v="1"/>
    <n v="1"/>
  </r>
  <r>
    <n v="3350"/>
    <s v="Hélio Martins"/>
    <x v="2"/>
    <x v="118"/>
    <x v="0"/>
    <n v="10"/>
    <x v="1"/>
    <x v="1"/>
    <s v="-"/>
    <x v="0"/>
    <n v="20"/>
    <n v="15"/>
    <n v="15"/>
    <n v="0"/>
    <n v="1"/>
  </r>
  <r>
    <n v="3351"/>
    <s v="Íris Santos"/>
    <x v="1"/>
    <x v="119"/>
    <x v="1"/>
    <n v="5"/>
    <x v="0"/>
    <x v="1"/>
    <s v="-"/>
    <x v="1"/>
    <n v="0"/>
    <n v="1"/>
    <n v="4"/>
    <n v="0"/>
    <n v="0"/>
  </r>
  <r>
    <n v="3352"/>
    <s v="João Marcelo"/>
    <x v="0"/>
    <x v="120"/>
    <x v="0"/>
    <n v="15"/>
    <x v="2"/>
    <x v="0"/>
    <n v="30"/>
    <x v="0"/>
    <n v="20"/>
    <n v="7"/>
    <n v="58"/>
    <n v="1"/>
    <n v="1"/>
  </r>
  <r>
    <n v="3353"/>
    <s v="Larissa Gomes"/>
    <x v="2"/>
    <x v="121"/>
    <x v="1"/>
    <n v="10"/>
    <x v="0"/>
    <x v="1"/>
    <s v="-"/>
    <x v="0"/>
    <n v="20"/>
    <n v="10"/>
    <n v="20"/>
    <n v="0"/>
    <n v="1"/>
  </r>
  <r>
    <n v="3354"/>
    <s v="Márcio Silva"/>
    <x v="1"/>
    <x v="122"/>
    <x v="0"/>
    <n v="5"/>
    <x v="1"/>
    <x v="1"/>
    <s v="-"/>
    <x v="1"/>
    <n v="0"/>
    <n v="0"/>
    <n v="5"/>
    <n v="0"/>
    <n v="0"/>
  </r>
  <r>
    <n v="3355"/>
    <s v="Nadia Costa"/>
    <x v="0"/>
    <x v="123"/>
    <x v="1"/>
    <n v="15"/>
    <x v="0"/>
    <x v="0"/>
    <n v="30"/>
    <x v="0"/>
    <n v="20"/>
    <n v="20"/>
    <n v="45"/>
    <n v="1"/>
    <n v="1"/>
  </r>
  <r>
    <n v="3356"/>
    <s v="Oscar Almeida"/>
    <x v="2"/>
    <x v="124"/>
    <x v="0"/>
    <n v="10"/>
    <x v="2"/>
    <x v="1"/>
    <s v="-"/>
    <x v="0"/>
    <n v="20"/>
    <n v="15"/>
    <n v="15"/>
    <n v="0"/>
    <n v="1"/>
  </r>
  <r>
    <n v="3357"/>
    <s v="Patricia Soares"/>
    <x v="1"/>
    <x v="125"/>
    <x v="1"/>
    <n v="5"/>
    <x v="0"/>
    <x v="1"/>
    <s v="-"/>
    <x v="1"/>
    <n v="0"/>
    <n v="1"/>
    <n v="4"/>
    <n v="0"/>
    <n v="0"/>
  </r>
  <r>
    <n v="3358"/>
    <s v="Quênia Barros"/>
    <x v="0"/>
    <x v="126"/>
    <x v="0"/>
    <n v="15"/>
    <x v="1"/>
    <x v="0"/>
    <n v="30"/>
    <x v="0"/>
    <n v="20"/>
    <n v="3"/>
    <n v="62"/>
    <n v="1"/>
    <n v="1"/>
  </r>
  <r>
    <n v="3359"/>
    <s v="Rafael Torres"/>
    <x v="2"/>
    <x v="127"/>
    <x v="1"/>
    <n v="10"/>
    <x v="0"/>
    <x v="1"/>
    <s v="-"/>
    <x v="0"/>
    <n v="20"/>
    <n v="10"/>
    <n v="20"/>
    <n v="0"/>
    <n v="1"/>
  </r>
  <r>
    <n v="3360"/>
    <s v="Silvia Nascimento"/>
    <x v="1"/>
    <x v="128"/>
    <x v="0"/>
    <n v="5"/>
    <x v="2"/>
    <x v="1"/>
    <s v="-"/>
    <x v="1"/>
    <n v="0"/>
    <n v="0"/>
    <n v="5"/>
    <n v="0"/>
    <n v="0"/>
  </r>
  <r>
    <n v="3361"/>
    <s v="Tiago Mendes"/>
    <x v="0"/>
    <x v="129"/>
    <x v="1"/>
    <n v="15"/>
    <x v="0"/>
    <x v="0"/>
    <n v="30"/>
    <x v="0"/>
    <n v="20"/>
    <n v="15"/>
    <n v="50"/>
    <n v="1"/>
    <n v="1"/>
  </r>
  <r>
    <n v="3362"/>
    <s v="Ursula Silva"/>
    <x v="2"/>
    <x v="130"/>
    <x v="0"/>
    <n v="10"/>
    <x v="1"/>
    <x v="1"/>
    <s v="-"/>
    <x v="0"/>
    <n v="20"/>
    <n v="15"/>
    <n v="15"/>
    <n v="0"/>
    <n v="1"/>
  </r>
  <r>
    <n v="3363"/>
    <s v="Vanessa Moraes"/>
    <x v="1"/>
    <x v="131"/>
    <x v="1"/>
    <n v="5"/>
    <x v="0"/>
    <x v="1"/>
    <s v="-"/>
    <x v="1"/>
    <n v="0"/>
    <n v="1"/>
    <n v="4"/>
    <n v="0"/>
    <n v="0"/>
  </r>
  <r>
    <n v="3364"/>
    <s v="Waldir Junior"/>
    <x v="0"/>
    <x v="132"/>
    <x v="0"/>
    <n v="15"/>
    <x v="2"/>
    <x v="0"/>
    <n v="30"/>
    <x v="0"/>
    <n v="20"/>
    <n v="7"/>
    <n v="58"/>
    <n v="1"/>
    <n v="1"/>
  </r>
  <r>
    <n v="3365"/>
    <s v="Xavier Lopes"/>
    <x v="2"/>
    <x v="133"/>
    <x v="1"/>
    <n v="10"/>
    <x v="0"/>
    <x v="1"/>
    <s v="-"/>
    <x v="0"/>
    <n v="20"/>
    <n v="10"/>
    <n v="20"/>
    <n v="0"/>
    <n v="1"/>
  </r>
  <r>
    <n v="3366"/>
    <s v="Yolanda Freitas"/>
    <x v="1"/>
    <x v="134"/>
    <x v="0"/>
    <n v="5"/>
    <x v="0"/>
    <x v="1"/>
    <s v="-"/>
    <x v="1"/>
    <n v="0"/>
    <n v="0"/>
    <n v="5"/>
    <n v="0"/>
    <n v="0"/>
  </r>
  <r>
    <n v="3367"/>
    <s v="Zacarias Nunes"/>
    <x v="0"/>
    <x v="135"/>
    <x v="1"/>
    <n v="15"/>
    <x v="2"/>
    <x v="0"/>
    <n v="30"/>
    <x v="0"/>
    <n v="20"/>
    <n v="7"/>
    <n v="58"/>
    <n v="1"/>
    <n v="1"/>
  </r>
  <r>
    <n v="3368"/>
    <s v="Ana Clara Barreto"/>
    <x v="2"/>
    <x v="136"/>
    <x v="0"/>
    <n v="10"/>
    <x v="1"/>
    <x v="1"/>
    <s v="-"/>
    <x v="0"/>
    <n v="20"/>
    <n v="10"/>
    <n v="20"/>
    <n v="0"/>
    <n v="1"/>
  </r>
  <r>
    <n v="3369"/>
    <s v="Bruno Henrique"/>
    <x v="1"/>
    <x v="137"/>
    <x v="1"/>
    <n v="5"/>
    <x v="2"/>
    <x v="1"/>
    <s v="-"/>
    <x v="1"/>
    <n v="0"/>
    <n v="1"/>
    <n v="4"/>
    <n v="0"/>
    <n v="0"/>
  </r>
  <r>
    <n v="3370"/>
    <s v="Carlos Eduardo"/>
    <x v="0"/>
    <x v="138"/>
    <x v="0"/>
    <n v="15"/>
    <x v="0"/>
    <x v="0"/>
    <n v="30"/>
    <x v="0"/>
    <n v="20"/>
    <n v="15"/>
    <n v="50"/>
    <n v="1"/>
    <n v="1"/>
  </r>
  <r>
    <n v="3371"/>
    <s v="Débora Lima"/>
    <x v="2"/>
    <x v="139"/>
    <x v="1"/>
    <n v="10"/>
    <x v="0"/>
    <x v="1"/>
    <s v="-"/>
    <x v="0"/>
    <n v="20"/>
    <n v="5"/>
    <n v="25"/>
    <n v="0"/>
    <n v="1"/>
  </r>
  <r>
    <n v="3372"/>
    <s v="Elisa Neves"/>
    <x v="1"/>
    <x v="140"/>
    <x v="0"/>
    <n v="5"/>
    <x v="1"/>
    <x v="1"/>
    <s v="-"/>
    <x v="1"/>
    <n v="0"/>
    <n v="0"/>
    <n v="5"/>
    <n v="0"/>
    <n v="0"/>
  </r>
  <r>
    <n v="3373"/>
    <s v="Fabiano Gomes"/>
    <x v="0"/>
    <x v="141"/>
    <x v="1"/>
    <n v="15"/>
    <x v="2"/>
    <x v="0"/>
    <n v="30"/>
    <x v="0"/>
    <n v="20"/>
    <n v="20"/>
    <n v="45"/>
    <n v="1"/>
    <n v="1"/>
  </r>
  <r>
    <n v="3374"/>
    <s v="Gisele Oliveira"/>
    <x v="2"/>
    <x v="142"/>
    <x v="0"/>
    <n v="10"/>
    <x v="2"/>
    <x v="1"/>
    <s v="-"/>
    <x v="0"/>
    <n v="20"/>
    <n v="12"/>
    <n v="18"/>
    <n v="0"/>
    <n v="1"/>
  </r>
  <r>
    <n v="3375"/>
    <s v="Héctor Silva"/>
    <x v="1"/>
    <x v="143"/>
    <x v="1"/>
    <n v="5"/>
    <x v="0"/>
    <x v="1"/>
    <s v="-"/>
    <x v="1"/>
    <n v="0"/>
    <n v="2"/>
    <n v="3"/>
    <n v="0"/>
    <n v="0"/>
  </r>
  <r>
    <n v="3376"/>
    <s v="Igor Martins"/>
    <x v="0"/>
    <x v="144"/>
    <x v="0"/>
    <n v="15"/>
    <x v="1"/>
    <x v="0"/>
    <n v="30"/>
    <x v="0"/>
    <n v="20"/>
    <n v="5"/>
    <n v="60"/>
    <n v="1"/>
    <n v="1"/>
  </r>
  <r>
    <n v="3377"/>
    <s v="Joana Figueiredo"/>
    <x v="2"/>
    <x v="145"/>
    <x v="1"/>
    <n v="10"/>
    <x v="0"/>
    <x v="1"/>
    <s v="-"/>
    <x v="0"/>
    <n v="20"/>
    <n v="10"/>
    <n v="20"/>
    <n v="0"/>
    <n v="1"/>
  </r>
  <r>
    <n v="3378"/>
    <s v="Kleber Machado"/>
    <x v="1"/>
    <x v="146"/>
    <x v="0"/>
    <n v="5"/>
    <x v="2"/>
    <x v="1"/>
    <s v="-"/>
    <x v="1"/>
    <n v="0"/>
    <n v="0"/>
    <n v="5"/>
    <n v="0"/>
    <n v="0"/>
  </r>
  <r>
    <n v="3379"/>
    <s v="Luciana Santos"/>
    <x v="0"/>
    <x v="147"/>
    <x v="1"/>
    <n v="15"/>
    <x v="0"/>
    <x v="0"/>
    <n v="30"/>
    <x v="0"/>
    <n v="20"/>
    <n v="3"/>
    <n v="62"/>
    <n v="1"/>
    <n v="1"/>
  </r>
  <r>
    <n v="3380"/>
    <s v="Marcos Teixeira"/>
    <x v="2"/>
    <x v="148"/>
    <x v="0"/>
    <n v="10"/>
    <x v="1"/>
    <x v="1"/>
    <s v="-"/>
    <x v="0"/>
    <n v="20"/>
    <n v="15"/>
    <n v="15"/>
    <n v="0"/>
    <n v="1"/>
  </r>
  <r>
    <n v="3381"/>
    <s v="Natalia Costa"/>
    <x v="1"/>
    <x v="149"/>
    <x v="1"/>
    <n v="5"/>
    <x v="0"/>
    <x v="1"/>
    <s v="-"/>
    <x v="1"/>
    <n v="0"/>
    <n v="1"/>
    <n v="4"/>
    <n v="0"/>
    <n v="0"/>
  </r>
  <r>
    <n v="3382"/>
    <s v="Oscar Ribeiro"/>
    <x v="0"/>
    <x v="150"/>
    <x v="0"/>
    <n v="15"/>
    <x v="2"/>
    <x v="0"/>
    <n v="30"/>
    <x v="0"/>
    <n v="20"/>
    <n v="7"/>
    <n v="58"/>
    <n v="1"/>
    <n v="1"/>
  </r>
  <r>
    <n v="3383"/>
    <s v="Patricia Almeida"/>
    <x v="2"/>
    <x v="151"/>
    <x v="1"/>
    <n v="10"/>
    <x v="0"/>
    <x v="1"/>
    <s v="-"/>
    <x v="0"/>
    <n v="20"/>
    <n v="10"/>
    <n v="20"/>
    <n v="0"/>
    <n v="1"/>
  </r>
  <r>
    <n v="3384"/>
    <s v="Quirino Junior"/>
    <x v="1"/>
    <x v="152"/>
    <x v="0"/>
    <n v="5"/>
    <x v="1"/>
    <x v="1"/>
    <s v="-"/>
    <x v="1"/>
    <n v="0"/>
    <n v="0"/>
    <n v="5"/>
    <n v="0"/>
    <n v="0"/>
  </r>
  <r>
    <n v="3385"/>
    <s v="Renata Machado"/>
    <x v="0"/>
    <x v="153"/>
    <x v="1"/>
    <n v="15"/>
    <x v="0"/>
    <x v="0"/>
    <n v="30"/>
    <x v="0"/>
    <n v="20"/>
    <n v="20"/>
    <n v="45"/>
    <n v="1"/>
    <n v="1"/>
  </r>
  <r>
    <n v="3386"/>
    <s v="Sônia Alves"/>
    <x v="2"/>
    <x v="154"/>
    <x v="0"/>
    <n v="10"/>
    <x v="2"/>
    <x v="1"/>
    <s v="-"/>
    <x v="0"/>
    <n v="20"/>
    <n v="15"/>
    <n v="15"/>
    <n v="0"/>
    <n v="1"/>
  </r>
  <r>
    <n v="3387"/>
    <s v="Tiago Nunes"/>
    <x v="1"/>
    <x v="155"/>
    <x v="1"/>
    <n v="5"/>
    <x v="0"/>
    <x v="1"/>
    <s v="-"/>
    <x v="1"/>
    <n v="0"/>
    <n v="1"/>
    <n v="4"/>
    <n v="0"/>
    <n v="0"/>
  </r>
  <r>
    <n v="3388"/>
    <s v="Ulysses Pereira"/>
    <x v="0"/>
    <x v="156"/>
    <x v="0"/>
    <n v="15"/>
    <x v="1"/>
    <x v="0"/>
    <n v="30"/>
    <x v="0"/>
    <n v="20"/>
    <n v="3"/>
    <n v="62"/>
    <n v="1"/>
    <n v="1"/>
  </r>
  <r>
    <n v="3389"/>
    <s v="Vanessa Lima"/>
    <x v="2"/>
    <x v="157"/>
    <x v="1"/>
    <n v="10"/>
    <x v="0"/>
    <x v="1"/>
    <s v="-"/>
    <x v="0"/>
    <n v="20"/>
    <n v="10"/>
    <n v="20"/>
    <n v="0"/>
    <n v="1"/>
  </r>
  <r>
    <n v="3390"/>
    <s v="Wagner Santos"/>
    <x v="1"/>
    <x v="158"/>
    <x v="0"/>
    <n v="5"/>
    <x v="2"/>
    <x v="1"/>
    <s v="-"/>
    <x v="1"/>
    <n v="0"/>
    <n v="0"/>
    <n v="5"/>
    <n v="0"/>
    <n v="0"/>
  </r>
  <r>
    <n v="3391"/>
    <s v="Xuxa Meneghel"/>
    <x v="0"/>
    <x v="159"/>
    <x v="1"/>
    <n v="15"/>
    <x v="0"/>
    <x v="0"/>
    <n v="30"/>
    <x v="0"/>
    <n v="20"/>
    <n v="15"/>
    <n v="50"/>
    <n v="1"/>
    <n v="1"/>
  </r>
  <r>
    <n v="3392"/>
    <s v="Yasmin Silva"/>
    <x v="2"/>
    <x v="160"/>
    <x v="0"/>
    <n v="10"/>
    <x v="1"/>
    <x v="1"/>
    <s v="-"/>
    <x v="0"/>
    <n v="20"/>
    <n v="15"/>
    <n v="15"/>
    <n v="0"/>
    <n v="1"/>
  </r>
  <r>
    <n v="3393"/>
    <s v="Zacarias de Souza"/>
    <x v="1"/>
    <x v="161"/>
    <x v="1"/>
    <n v="5"/>
    <x v="0"/>
    <x v="1"/>
    <s v="-"/>
    <x v="1"/>
    <n v="0"/>
    <n v="1"/>
    <n v="4"/>
    <n v="0"/>
    <n v="0"/>
  </r>
  <r>
    <n v="3394"/>
    <s v="André Lima"/>
    <x v="0"/>
    <x v="162"/>
    <x v="0"/>
    <n v="15"/>
    <x v="2"/>
    <x v="0"/>
    <n v="30"/>
    <x v="0"/>
    <n v="20"/>
    <n v="7"/>
    <n v="58"/>
    <n v="1"/>
    <n v="1"/>
  </r>
  <r>
    <n v="3395"/>
    <s v="Bianca Freitas"/>
    <x v="2"/>
    <x v="163"/>
    <x v="1"/>
    <n v="10"/>
    <x v="0"/>
    <x v="1"/>
    <s v="-"/>
    <x v="0"/>
    <n v="20"/>
    <n v="10"/>
    <n v="20"/>
    <n v="0"/>
    <n v="1"/>
  </r>
  <r>
    <n v="3396"/>
    <s v="Caio Mendes"/>
    <x v="1"/>
    <x v="164"/>
    <x v="0"/>
    <n v="5"/>
    <x v="1"/>
    <x v="1"/>
    <s v="-"/>
    <x v="1"/>
    <n v="0"/>
    <n v="0"/>
    <n v="5"/>
    <n v="0"/>
    <n v="0"/>
  </r>
  <r>
    <n v="3397"/>
    <s v="Daniela Moura"/>
    <x v="0"/>
    <x v="165"/>
    <x v="1"/>
    <n v="15"/>
    <x v="0"/>
    <x v="0"/>
    <n v="30"/>
    <x v="0"/>
    <n v="20"/>
    <n v="20"/>
    <n v="45"/>
    <n v="1"/>
    <n v="1"/>
  </r>
  <r>
    <n v="3398"/>
    <s v="Eduardo Costa"/>
    <x v="2"/>
    <x v="166"/>
    <x v="0"/>
    <n v="10"/>
    <x v="2"/>
    <x v="1"/>
    <s v="-"/>
    <x v="0"/>
    <n v="20"/>
    <n v="15"/>
    <n v="15"/>
    <n v="0"/>
    <n v="1"/>
  </r>
  <r>
    <n v="3399"/>
    <s v="Fernanda Gomes"/>
    <x v="1"/>
    <x v="167"/>
    <x v="1"/>
    <n v="5"/>
    <x v="0"/>
    <x v="1"/>
    <s v="-"/>
    <x v="1"/>
    <n v="0"/>
    <n v="1"/>
    <n v="4"/>
    <n v="0"/>
    <n v="0"/>
  </r>
  <r>
    <n v="3400"/>
    <s v="Guilherme Souza"/>
    <x v="0"/>
    <x v="168"/>
    <x v="0"/>
    <n v="15"/>
    <x v="1"/>
    <x v="0"/>
    <n v="30"/>
    <x v="0"/>
    <n v="20"/>
    <n v="5"/>
    <n v="60"/>
    <n v="1"/>
    <n v="1"/>
  </r>
  <r>
    <n v="3401"/>
    <s v="Helena Ribeiro"/>
    <x v="2"/>
    <x v="169"/>
    <x v="1"/>
    <n v="10"/>
    <x v="0"/>
    <x v="1"/>
    <s v="-"/>
    <x v="0"/>
    <n v="20"/>
    <n v="10"/>
    <n v="20"/>
    <n v="0"/>
    <n v="1"/>
  </r>
  <r>
    <n v="3402"/>
    <s v="Igor Santos"/>
    <x v="1"/>
    <x v="170"/>
    <x v="0"/>
    <n v="5"/>
    <x v="2"/>
    <x v="1"/>
    <s v="-"/>
    <x v="1"/>
    <n v="0"/>
    <n v="0"/>
    <n v="5"/>
    <n v="0"/>
    <n v="0"/>
  </r>
  <r>
    <n v="3403"/>
    <s v="João Carvalho"/>
    <x v="0"/>
    <x v="171"/>
    <x v="1"/>
    <n v="15"/>
    <x v="0"/>
    <x v="0"/>
    <n v="30"/>
    <x v="0"/>
    <n v="20"/>
    <n v="3"/>
    <n v="62"/>
    <n v="1"/>
    <n v="1"/>
  </r>
  <r>
    <n v="3404"/>
    <s v="Klara Fagundes"/>
    <x v="2"/>
    <x v="172"/>
    <x v="0"/>
    <n v="10"/>
    <x v="1"/>
    <x v="1"/>
    <s v="-"/>
    <x v="0"/>
    <n v="20"/>
    <n v="15"/>
    <n v="15"/>
    <n v="0"/>
    <n v="1"/>
  </r>
  <r>
    <n v="3405"/>
    <s v="Lúcia Mendonça"/>
    <x v="1"/>
    <x v="173"/>
    <x v="1"/>
    <n v="5"/>
    <x v="0"/>
    <x v="1"/>
    <s v="-"/>
    <x v="1"/>
    <n v="0"/>
    <n v="1"/>
    <n v="4"/>
    <n v="0"/>
    <n v="0"/>
  </r>
  <r>
    <n v="3406"/>
    <s v="Marcelo Novaes"/>
    <x v="1"/>
    <x v="174"/>
    <x v="0"/>
    <n v="5"/>
    <x v="0"/>
    <x v="1"/>
    <s v="-"/>
    <x v="1"/>
    <n v="0"/>
    <n v="0"/>
    <n v="5"/>
    <n v="0"/>
    <n v="0"/>
  </r>
  <r>
    <n v="3407"/>
    <s v="Nina Pacheco"/>
    <x v="0"/>
    <x v="175"/>
    <x v="1"/>
    <n v="15"/>
    <x v="2"/>
    <x v="0"/>
    <n v="30"/>
    <x v="0"/>
    <n v="20"/>
    <n v="7"/>
    <n v="58"/>
    <n v="1"/>
    <n v="1"/>
  </r>
  <r>
    <n v="3408"/>
    <s v="Olívia Rios"/>
    <x v="2"/>
    <x v="176"/>
    <x v="0"/>
    <n v="10"/>
    <x v="1"/>
    <x v="1"/>
    <s v="-"/>
    <x v="0"/>
    <n v="20"/>
    <n v="10"/>
    <n v="20"/>
    <n v="0"/>
    <n v="1"/>
  </r>
  <r>
    <n v="3409"/>
    <s v="Paulo Quintana"/>
    <x v="1"/>
    <x v="177"/>
    <x v="1"/>
    <n v="5"/>
    <x v="2"/>
    <x v="1"/>
    <s v="-"/>
    <x v="1"/>
    <n v="0"/>
    <n v="1"/>
    <n v="4"/>
    <n v="0"/>
    <n v="0"/>
  </r>
  <r>
    <n v="3410"/>
    <s v="Raquel Domingos"/>
    <x v="0"/>
    <x v="178"/>
    <x v="0"/>
    <n v="15"/>
    <x v="0"/>
    <x v="0"/>
    <n v="30"/>
    <x v="0"/>
    <n v="20"/>
    <n v="15"/>
    <n v="50"/>
    <n v="1"/>
    <n v="1"/>
  </r>
  <r>
    <n v="3411"/>
    <s v="Samuel Viana"/>
    <x v="2"/>
    <x v="179"/>
    <x v="1"/>
    <n v="10"/>
    <x v="0"/>
    <x v="1"/>
    <s v="-"/>
    <x v="0"/>
    <n v="20"/>
    <n v="5"/>
    <n v="25"/>
    <n v="0"/>
    <n v="1"/>
  </r>
  <r>
    <n v="3412"/>
    <s v="Tatiane Rocha"/>
    <x v="1"/>
    <x v="180"/>
    <x v="0"/>
    <n v="5"/>
    <x v="1"/>
    <x v="1"/>
    <s v="-"/>
    <x v="1"/>
    <n v="0"/>
    <n v="0"/>
    <n v="5"/>
    <n v="0"/>
    <n v="0"/>
  </r>
  <r>
    <n v="3413"/>
    <s v="Ulysses Farias"/>
    <x v="0"/>
    <x v="181"/>
    <x v="1"/>
    <n v="15"/>
    <x v="2"/>
    <x v="0"/>
    <n v="30"/>
    <x v="0"/>
    <n v="20"/>
    <n v="20"/>
    <n v="45"/>
    <n v="1"/>
    <n v="1"/>
  </r>
  <r>
    <n v="3414"/>
    <s v="Vanessa Moreira"/>
    <x v="2"/>
    <x v="182"/>
    <x v="0"/>
    <n v="10"/>
    <x v="2"/>
    <x v="1"/>
    <s v="-"/>
    <x v="0"/>
    <n v="20"/>
    <n v="12"/>
    <n v="18"/>
    <n v="0"/>
    <n v="1"/>
  </r>
  <r>
    <n v="3415"/>
    <s v="William Carvalho"/>
    <x v="1"/>
    <x v="183"/>
    <x v="1"/>
    <n v="5"/>
    <x v="0"/>
    <x v="1"/>
    <s v="-"/>
    <x v="1"/>
    <n v="0"/>
    <n v="2"/>
    <n v="3"/>
    <n v="0"/>
    <n v="0"/>
  </r>
  <r>
    <n v="3416"/>
    <s v="Ximena Barros"/>
    <x v="0"/>
    <x v="184"/>
    <x v="0"/>
    <n v="15"/>
    <x v="1"/>
    <x v="0"/>
    <n v="30"/>
    <x v="0"/>
    <n v="20"/>
    <n v="5"/>
    <n v="60"/>
    <n v="1"/>
    <n v="1"/>
  </r>
  <r>
    <n v="3417"/>
    <s v="Yara Machado"/>
    <x v="2"/>
    <x v="185"/>
    <x v="1"/>
    <n v="10"/>
    <x v="0"/>
    <x v="1"/>
    <s v="-"/>
    <x v="0"/>
    <n v="20"/>
    <n v="10"/>
    <n v="20"/>
    <n v="0"/>
    <n v="1"/>
  </r>
  <r>
    <n v="3418"/>
    <s v="Zacarias Costa"/>
    <x v="1"/>
    <x v="186"/>
    <x v="0"/>
    <n v="5"/>
    <x v="2"/>
    <x v="1"/>
    <s v="-"/>
    <x v="1"/>
    <n v="0"/>
    <n v="0"/>
    <n v="5"/>
    <n v="0"/>
    <n v="0"/>
  </r>
  <r>
    <n v="3419"/>
    <s v="André Lopes"/>
    <x v="0"/>
    <x v="187"/>
    <x v="1"/>
    <n v="15"/>
    <x v="0"/>
    <x v="0"/>
    <n v="30"/>
    <x v="0"/>
    <n v="20"/>
    <n v="3"/>
    <n v="62"/>
    <n v="1"/>
    <n v="1"/>
  </r>
  <r>
    <n v="3420"/>
    <s v="Beatriz Souza"/>
    <x v="2"/>
    <x v="188"/>
    <x v="0"/>
    <n v="10"/>
    <x v="1"/>
    <x v="1"/>
    <s v="-"/>
    <x v="0"/>
    <n v="20"/>
    <n v="15"/>
    <n v="15"/>
    <n v="0"/>
    <n v="1"/>
  </r>
  <r>
    <n v="3421"/>
    <s v="Caio Pereira"/>
    <x v="1"/>
    <x v="189"/>
    <x v="1"/>
    <n v="5"/>
    <x v="0"/>
    <x v="1"/>
    <s v="-"/>
    <x v="1"/>
    <n v="0"/>
    <n v="1"/>
    <n v="4"/>
    <n v="0"/>
    <n v="0"/>
  </r>
  <r>
    <n v="3422"/>
    <s v="Daniela Araújo"/>
    <x v="0"/>
    <x v="190"/>
    <x v="0"/>
    <n v="15"/>
    <x v="2"/>
    <x v="0"/>
    <n v="30"/>
    <x v="0"/>
    <n v="20"/>
    <n v="7"/>
    <n v="58"/>
    <n v="1"/>
    <n v="1"/>
  </r>
  <r>
    <n v="3423"/>
    <s v="Eduardo Santos"/>
    <x v="2"/>
    <x v="191"/>
    <x v="1"/>
    <n v="10"/>
    <x v="0"/>
    <x v="1"/>
    <s v="-"/>
    <x v="0"/>
    <n v="20"/>
    <n v="10"/>
    <n v="20"/>
    <n v="0"/>
    <n v="1"/>
  </r>
  <r>
    <n v="3424"/>
    <s v="Fernanda Lima"/>
    <x v="1"/>
    <x v="192"/>
    <x v="0"/>
    <n v="5"/>
    <x v="1"/>
    <x v="1"/>
    <s v="-"/>
    <x v="1"/>
    <n v="0"/>
    <n v="0"/>
    <n v="5"/>
    <n v="0"/>
    <n v="0"/>
  </r>
  <r>
    <n v="3425"/>
    <s v="Gabriel Teixeira"/>
    <x v="0"/>
    <x v="193"/>
    <x v="1"/>
    <n v="15"/>
    <x v="0"/>
    <x v="0"/>
    <n v="30"/>
    <x v="0"/>
    <n v="20"/>
    <n v="20"/>
    <n v="45"/>
    <n v="1"/>
    <n v="1"/>
  </r>
  <r>
    <n v="3426"/>
    <s v="Helena Ribeiro"/>
    <x v="2"/>
    <x v="194"/>
    <x v="0"/>
    <n v="10"/>
    <x v="2"/>
    <x v="1"/>
    <s v="-"/>
    <x v="0"/>
    <n v="20"/>
    <n v="15"/>
    <n v="15"/>
    <n v="0"/>
    <n v="1"/>
  </r>
  <r>
    <n v="3427"/>
    <s v="Igor Mendes"/>
    <x v="1"/>
    <x v="195"/>
    <x v="1"/>
    <n v="5"/>
    <x v="0"/>
    <x v="1"/>
    <s v="-"/>
    <x v="1"/>
    <n v="0"/>
    <n v="1"/>
    <n v="4"/>
    <n v="0"/>
    <n v="0"/>
  </r>
  <r>
    <n v="3428"/>
    <s v="Joana Silveira"/>
    <x v="0"/>
    <x v="196"/>
    <x v="0"/>
    <n v="15"/>
    <x v="1"/>
    <x v="0"/>
    <n v="30"/>
    <x v="0"/>
    <n v="20"/>
    <n v="3"/>
    <n v="62"/>
    <n v="1"/>
    <n v="1"/>
  </r>
  <r>
    <n v="3429"/>
    <s v="Lucas Martins"/>
    <x v="2"/>
    <x v="197"/>
    <x v="1"/>
    <n v="10"/>
    <x v="0"/>
    <x v="1"/>
    <s v="-"/>
    <x v="0"/>
    <n v="20"/>
    <n v="10"/>
    <n v="20"/>
    <n v="0"/>
    <n v="1"/>
  </r>
  <r>
    <n v="3430"/>
    <s v="Marcela Gouveia"/>
    <x v="1"/>
    <x v="198"/>
    <x v="0"/>
    <n v="5"/>
    <x v="2"/>
    <x v="1"/>
    <s v="-"/>
    <x v="1"/>
    <n v="0"/>
    <n v="0"/>
    <n v="5"/>
    <n v="0"/>
    <n v="0"/>
  </r>
  <r>
    <n v="3431"/>
    <s v="Nicolas Borges"/>
    <x v="0"/>
    <x v="199"/>
    <x v="1"/>
    <n v="15"/>
    <x v="0"/>
    <x v="0"/>
    <n v="30"/>
    <x v="0"/>
    <n v="20"/>
    <n v="15"/>
    <n v="50"/>
    <n v="1"/>
    <n v="1"/>
  </r>
  <r>
    <n v="3432"/>
    <s v="Olivia Freitas"/>
    <x v="2"/>
    <x v="200"/>
    <x v="0"/>
    <n v="10"/>
    <x v="1"/>
    <x v="1"/>
    <s v="-"/>
    <x v="0"/>
    <n v="20"/>
    <n v="15"/>
    <n v="15"/>
    <n v="0"/>
    <n v="1"/>
  </r>
  <r>
    <n v="3433"/>
    <s v="Paulo Nogueira"/>
    <x v="1"/>
    <x v="201"/>
    <x v="1"/>
    <n v="5"/>
    <x v="0"/>
    <x v="1"/>
    <s v="-"/>
    <x v="1"/>
    <n v="0"/>
    <n v="1"/>
    <n v="4"/>
    <n v="0"/>
    <n v="0"/>
  </r>
  <r>
    <n v="3434"/>
    <s v="Raquel Andrade"/>
    <x v="0"/>
    <x v="202"/>
    <x v="0"/>
    <n v="15"/>
    <x v="2"/>
    <x v="0"/>
    <n v="30"/>
    <x v="0"/>
    <n v="20"/>
    <n v="7"/>
    <n v="58"/>
    <n v="1"/>
    <n v="1"/>
  </r>
  <r>
    <n v="3435"/>
    <s v="Sônia Carvalho"/>
    <x v="2"/>
    <x v="203"/>
    <x v="1"/>
    <n v="10"/>
    <x v="0"/>
    <x v="1"/>
    <s v="-"/>
    <x v="0"/>
    <n v="20"/>
    <n v="10"/>
    <n v="20"/>
    <n v="0"/>
    <n v="1"/>
  </r>
  <r>
    <n v="3436"/>
    <s v="Tiago Rodrigues"/>
    <x v="1"/>
    <x v="204"/>
    <x v="0"/>
    <n v="5"/>
    <x v="0"/>
    <x v="1"/>
    <s v="-"/>
    <x v="1"/>
    <n v="0"/>
    <n v="0"/>
    <n v="5"/>
    <n v="0"/>
    <n v="0"/>
  </r>
  <r>
    <n v="3437"/>
    <s v="Ursula Monteiro"/>
    <x v="0"/>
    <x v="205"/>
    <x v="1"/>
    <n v="15"/>
    <x v="2"/>
    <x v="0"/>
    <n v="30"/>
    <x v="0"/>
    <n v="20"/>
    <n v="7"/>
    <n v="58"/>
    <n v="1"/>
    <n v="1"/>
  </r>
  <r>
    <n v="3438"/>
    <s v="Vanessa Pereira"/>
    <x v="2"/>
    <x v="206"/>
    <x v="0"/>
    <n v="10"/>
    <x v="1"/>
    <x v="1"/>
    <s v="-"/>
    <x v="0"/>
    <n v="20"/>
    <n v="10"/>
    <n v="20"/>
    <n v="0"/>
    <n v="1"/>
  </r>
  <r>
    <n v="3439"/>
    <s v="Walter Silva"/>
    <x v="1"/>
    <x v="207"/>
    <x v="1"/>
    <n v="5"/>
    <x v="2"/>
    <x v="1"/>
    <s v="-"/>
    <x v="1"/>
    <n v="0"/>
    <n v="1"/>
    <n v="4"/>
    <n v="0"/>
    <n v="0"/>
  </r>
  <r>
    <n v="3440"/>
    <s v="Xavier Almeida"/>
    <x v="0"/>
    <x v="208"/>
    <x v="0"/>
    <n v="15"/>
    <x v="0"/>
    <x v="0"/>
    <n v="30"/>
    <x v="0"/>
    <n v="20"/>
    <n v="15"/>
    <n v="50"/>
    <n v="1"/>
    <n v="1"/>
  </r>
  <r>
    <n v="3441"/>
    <s v="Yasmine Correia"/>
    <x v="2"/>
    <x v="209"/>
    <x v="1"/>
    <n v="10"/>
    <x v="0"/>
    <x v="1"/>
    <s v="-"/>
    <x v="0"/>
    <n v="20"/>
    <n v="5"/>
    <n v="25"/>
    <n v="0"/>
    <n v="1"/>
  </r>
  <r>
    <n v="3442"/>
    <s v="Zacarias Almeida"/>
    <x v="1"/>
    <x v="210"/>
    <x v="0"/>
    <n v="5"/>
    <x v="1"/>
    <x v="1"/>
    <s v="-"/>
    <x v="1"/>
    <n v="0"/>
    <n v="0"/>
    <n v="5"/>
    <n v="0"/>
    <n v="0"/>
  </r>
  <r>
    <n v="3443"/>
    <s v="Amanda Costa"/>
    <x v="0"/>
    <x v="211"/>
    <x v="1"/>
    <n v="15"/>
    <x v="2"/>
    <x v="0"/>
    <n v="30"/>
    <x v="0"/>
    <n v="20"/>
    <n v="20"/>
    <n v="45"/>
    <n v="1"/>
    <n v="1"/>
  </r>
  <r>
    <n v="3444"/>
    <s v="Bruno Ferreira"/>
    <x v="2"/>
    <x v="212"/>
    <x v="0"/>
    <n v="10"/>
    <x v="2"/>
    <x v="1"/>
    <s v="-"/>
    <x v="0"/>
    <n v="20"/>
    <n v="12"/>
    <n v="18"/>
    <n v="0"/>
    <n v="1"/>
  </r>
  <r>
    <n v="3445"/>
    <s v="Carla Dias"/>
    <x v="1"/>
    <x v="213"/>
    <x v="1"/>
    <n v="5"/>
    <x v="0"/>
    <x v="1"/>
    <s v="-"/>
    <x v="1"/>
    <n v="0"/>
    <n v="2"/>
    <n v="3"/>
    <n v="0"/>
    <n v="0"/>
  </r>
  <r>
    <n v="3446"/>
    <s v="Diogo Martins"/>
    <x v="0"/>
    <x v="214"/>
    <x v="0"/>
    <n v="15"/>
    <x v="1"/>
    <x v="0"/>
    <n v="30"/>
    <x v="0"/>
    <n v="20"/>
    <n v="5"/>
    <n v="60"/>
    <n v="1"/>
    <n v="1"/>
  </r>
  <r>
    <n v="3447"/>
    <s v="Elisa Campos"/>
    <x v="2"/>
    <x v="215"/>
    <x v="1"/>
    <n v="10"/>
    <x v="0"/>
    <x v="1"/>
    <s v="-"/>
    <x v="0"/>
    <n v="20"/>
    <n v="10"/>
    <n v="20"/>
    <n v="0"/>
    <n v="1"/>
  </r>
  <r>
    <n v="3448"/>
    <s v="Fabiana Lima"/>
    <x v="1"/>
    <x v="216"/>
    <x v="0"/>
    <n v="5"/>
    <x v="2"/>
    <x v="1"/>
    <s v="-"/>
    <x v="1"/>
    <n v="0"/>
    <n v="0"/>
    <n v="5"/>
    <n v="0"/>
    <n v="0"/>
  </r>
  <r>
    <n v="3449"/>
    <s v="Gabriel Santos"/>
    <x v="0"/>
    <x v="217"/>
    <x v="1"/>
    <n v="15"/>
    <x v="0"/>
    <x v="0"/>
    <n v="30"/>
    <x v="0"/>
    <n v="20"/>
    <n v="3"/>
    <n v="62"/>
    <n v="1"/>
    <n v="1"/>
  </r>
  <r>
    <n v="3450"/>
    <s v="Helena Ferreira"/>
    <x v="2"/>
    <x v="218"/>
    <x v="0"/>
    <n v="10"/>
    <x v="1"/>
    <x v="1"/>
    <s v="-"/>
    <x v="0"/>
    <n v="20"/>
    <n v="15"/>
    <n v="15"/>
    <n v="0"/>
    <n v="1"/>
  </r>
  <r>
    <n v="3451"/>
    <s v="Ígor Nunes"/>
    <x v="1"/>
    <x v="219"/>
    <x v="1"/>
    <n v="5"/>
    <x v="0"/>
    <x v="1"/>
    <s v="-"/>
    <x v="1"/>
    <n v="0"/>
    <n v="1"/>
    <n v="4"/>
    <n v="0"/>
    <n v="0"/>
  </r>
  <r>
    <n v="3452"/>
    <s v="Joana Silveira"/>
    <x v="0"/>
    <x v="220"/>
    <x v="0"/>
    <n v="15"/>
    <x v="2"/>
    <x v="0"/>
    <n v="30"/>
    <x v="0"/>
    <n v="20"/>
    <n v="7"/>
    <n v="58"/>
    <n v="1"/>
    <n v="1"/>
  </r>
  <r>
    <n v="3453"/>
    <s v="Kléber Oliveira"/>
    <x v="2"/>
    <x v="221"/>
    <x v="1"/>
    <n v="10"/>
    <x v="0"/>
    <x v="1"/>
    <s v="-"/>
    <x v="0"/>
    <n v="20"/>
    <n v="10"/>
    <n v="20"/>
    <n v="0"/>
    <n v="1"/>
  </r>
  <r>
    <n v="3454"/>
    <s v="Luciana Morais"/>
    <x v="1"/>
    <x v="222"/>
    <x v="0"/>
    <n v="5"/>
    <x v="1"/>
    <x v="1"/>
    <s v="-"/>
    <x v="1"/>
    <n v="0"/>
    <n v="0"/>
    <n v="5"/>
    <n v="0"/>
    <n v="0"/>
  </r>
  <r>
    <n v="3455"/>
    <s v="Marcos Vinícius"/>
    <x v="0"/>
    <x v="223"/>
    <x v="1"/>
    <n v="15"/>
    <x v="0"/>
    <x v="0"/>
    <n v="30"/>
    <x v="0"/>
    <n v="20"/>
    <n v="20"/>
    <n v="45"/>
    <n v="1"/>
    <n v="1"/>
  </r>
  <r>
    <n v="3456"/>
    <s v="Natália Barros"/>
    <x v="2"/>
    <x v="224"/>
    <x v="0"/>
    <n v="10"/>
    <x v="2"/>
    <x v="1"/>
    <s v="-"/>
    <x v="0"/>
    <n v="20"/>
    <n v="15"/>
    <n v="15"/>
    <n v="0"/>
    <n v="1"/>
  </r>
  <r>
    <n v="3457"/>
    <s v="Oscar Sampaio"/>
    <x v="1"/>
    <x v="225"/>
    <x v="1"/>
    <n v="5"/>
    <x v="0"/>
    <x v="1"/>
    <s v="-"/>
    <x v="1"/>
    <n v="0"/>
    <n v="1"/>
    <n v="4"/>
    <n v="0"/>
    <n v="0"/>
  </r>
  <r>
    <n v="3458"/>
    <s v="Patrícia Leite"/>
    <x v="0"/>
    <x v="226"/>
    <x v="0"/>
    <n v="15"/>
    <x v="1"/>
    <x v="0"/>
    <n v="30"/>
    <x v="0"/>
    <n v="20"/>
    <n v="3"/>
    <n v="62"/>
    <n v="1"/>
    <n v="1"/>
  </r>
  <r>
    <n v="3459"/>
    <s v="Quênia Rocha"/>
    <x v="2"/>
    <x v="227"/>
    <x v="1"/>
    <n v="10"/>
    <x v="0"/>
    <x v="1"/>
    <s v="-"/>
    <x v="0"/>
    <n v="20"/>
    <n v="10"/>
    <n v="20"/>
    <n v="0"/>
    <n v="1"/>
  </r>
  <r>
    <n v="3460"/>
    <s v="Rafael Torres"/>
    <x v="1"/>
    <x v="228"/>
    <x v="0"/>
    <n v="5"/>
    <x v="2"/>
    <x v="1"/>
    <s v="-"/>
    <x v="1"/>
    <n v="0"/>
    <n v="0"/>
    <n v="5"/>
    <n v="0"/>
    <n v="0"/>
  </r>
  <r>
    <n v="3461"/>
    <s v="Sandra Gouveia"/>
    <x v="0"/>
    <x v="229"/>
    <x v="1"/>
    <n v="15"/>
    <x v="0"/>
    <x v="0"/>
    <n v="30"/>
    <x v="0"/>
    <n v="20"/>
    <n v="15"/>
    <n v="50"/>
    <n v="1"/>
    <n v="1"/>
  </r>
  <r>
    <n v="3462"/>
    <s v="Tiago Lacerda"/>
    <x v="2"/>
    <x v="230"/>
    <x v="0"/>
    <n v="10"/>
    <x v="1"/>
    <x v="1"/>
    <s v="-"/>
    <x v="0"/>
    <n v="20"/>
    <n v="15"/>
    <n v="15"/>
    <n v="0"/>
    <n v="1"/>
  </r>
  <r>
    <n v="3463"/>
    <s v="Ursula Fonseca"/>
    <x v="1"/>
    <x v="231"/>
    <x v="1"/>
    <n v="5"/>
    <x v="0"/>
    <x v="1"/>
    <s v="-"/>
    <x v="1"/>
    <n v="0"/>
    <n v="1"/>
    <n v="4"/>
    <n v="0"/>
    <n v="0"/>
  </r>
  <r>
    <n v="3464"/>
    <s v="Vanessa Andrade"/>
    <x v="0"/>
    <x v="232"/>
    <x v="0"/>
    <n v="15"/>
    <x v="2"/>
    <x v="0"/>
    <n v="30"/>
    <x v="0"/>
    <n v="20"/>
    <n v="7"/>
    <n v="58"/>
    <n v="1"/>
    <n v="1"/>
  </r>
  <r>
    <n v="3465"/>
    <s v="William Castro"/>
    <x v="2"/>
    <x v="233"/>
    <x v="1"/>
    <n v="10"/>
    <x v="0"/>
    <x v="1"/>
    <s v="-"/>
    <x v="0"/>
    <n v="20"/>
    <n v="10"/>
    <n v="20"/>
    <n v="0"/>
    <n v="1"/>
  </r>
  <r>
    <n v="3466"/>
    <s v="Xavier Monteiro"/>
    <x v="1"/>
    <x v="234"/>
    <x v="0"/>
    <n v="5"/>
    <x v="1"/>
    <x v="1"/>
    <s v="-"/>
    <x v="1"/>
    <n v="0"/>
    <n v="0"/>
    <n v="5"/>
    <n v="0"/>
    <n v="0"/>
  </r>
  <r>
    <n v="3467"/>
    <s v="Yasmin Figueira"/>
    <x v="0"/>
    <x v="235"/>
    <x v="1"/>
    <n v="15"/>
    <x v="0"/>
    <x v="0"/>
    <n v="30"/>
    <x v="0"/>
    <n v="20"/>
    <n v="15"/>
    <n v="50"/>
    <n v="1"/>
    <n v="1"/>
  </r>
  <r>
    <n v="3468"/>
    <s v="Zacarias Mendonça"/>
    <x v="2"/>
    <x v="236"/>
    <x v="0"/>
    <n v="10"/>
    <x v="2"/>
    <x v="1"/>
    <s v="-"/>
    <x v="0"/>
    <n v="20"/>
    <n v="12"/>
    <n v="18"/>
    <n v="0"/>
    <n v="1"/>
  </r>
  <r>
    <n v="3469"/>
    <s v="Amanda Menezes"/>
    <x v="1"/>
    <x v="237"/>
    <x v="1"/>
    <n v="5"/>
    <x v="0"/>
    <x v="1"/>
    <s v="-"/>
    <x v="1"/>
    <n v="0"/>
    <n v="2"/>
    <n v="3"/>
    <n v="0"/>
    <n v="0"/>
  </r>
  <r>
    <n v="3470"/>
    <s v="Bruno Santos"/>
    <x v="0"/>
    <x v="238"/>
    <x v="0"/>
    <n v="15"/>
    <x v="1"/>
    <x v="0"/>
    <n v="30"/>
    <x v="0"/>
    <n v="20"/>
    <n v="5"/>
    <n v="60"/>
    <n v="1"/>
    <n v="1"/>
  </r>
  <r>
    <n v="3471"/>
    <s v="Carla Ferreira"/>
    <x v="2"/>
    <x v="239"/>
    <x v="1"/>
    <n v="10"/>
    <x v="0"/>
    <x v="1"/>
    <s v="-"/>
    <x v="0"/>
    <n v="20"/>
    <n v="10"/>
    <n v="20"/>
    <n v="0"/>
    <n v="1"/>
  </r>
  <r>
    <n v="3472"/>
    <s v="Diogo Alves"/>
    <x v="1"/>
    <x v="240"/>
    <x v="0"/>
    <n v="5"/>
    <x v="2"/>
    <x v="1"/>
    <s v="-"/>
    <x v="1"/>
    <n v="0"/>
    <n v="0"/>
    <n v="5"/>
    <n v="0"/>
    <n v="0"/>
  </r>
  <r>
    <n v="3473"/>
    <s v="Elisa Neves"/>
    <x v="0"/>
    <x v="241"/>
    <x v="1"/>
    <n v="15"/>
    <x v="0"/>
    <x v="0"/>
    <n v="30"/>
    <x v="0"/>
    <n v="20"/>
    <n v="3"/>
    <n v="62"/>
    <n v="1"/>
    <n v="1"/>
  </r>
  <r>
    <n v="3474"/>
    <s v="Fabiano Pires"/>
    <x v="2"/>
    <x v="242"/>
    <x v="0"/>
    <n v="10"/>
    <x v="1"/>
    <x v="1"/>
    <s v="-"/>
    <x v="0"/>
    <n v="20"/>
    <n v="15"/>
    <n v="15"/>
    <n v="0"/>
    <n v="1"/>
  </r>
  <r>
    <n v="3475"/>
    <s v="Giovana Ribeiro"/>
    <x v="1"/>
    <x v="243"/>
    <x v="1"/>
    <n v="5"/>
    <x v="0"/>
    <x v="1"/>
    <s v="-"/>
    <x v="1"/>
    <n v="0"/>
    <n v="1"/>
    <n v="4"/>
    <n v="0"/>
    <n v="0"/>
  </r>
  <r>
    <n v="3476"/>
    <s v="Hélio Costa"/>
    <x v="0"/>
    <x v="244"/>
    <x v="0"/>
    <n v="15"/>
    <x v="2"/>
    <x v="0"/>
    <n v="30"/>
    <x v="0"/>
    <n v="20"/>
    <n v="7"/>
    <n v="58"/>
    <n v="1"/>
    <n v="1"/>
  </r>
  <r>
    <n v="3477"/>
    <s v="Íris Loureiro"/>
    <x v="2"/>
    <x v="245"/>
    <x v="1"/>
    <n v="10"/>
    <x v="0"/>
    <x v="1"/>
    <s v="-"/>
    <x v="0"/>
    <n v="20"/>
    <n v="10"/>
    <n v="20"/>
    <n v="0"/>
    <n v="1"/>
  </r>
  <r>
    <n v="3478"/>
    <s v="João Pereira"/>
    <x v="1"/>
    <x v="246"/>
    <x v="0"/>
    <n v="5"/>
    <x v="1"/>
    <x v="1"/>
    <s v="-"/>
    <x v="1"/>
    <n v="0"/>
    <n v="0"/>
    <n v="5"/>
    <n v="0"/>
    <n v="0"/>
  </r>
  <r>
    <n v="3479"/>
    <s v="Klara Silva"/>
    <x v="0"/>
    <x v="247"/>
    <x v="1"/>
    <n v="15"/>
    <x v="0"/>
    <x v="0"/>
    <n v="30"/>
    <x v="0"/>
    <n v="20"/>
    <n v="20"/>
    <n v="45"/>
    <n v="1"/>
    <n v="1"/>
  </r>
  <r>
    <n v="3480"/>
    <s v="Luciana Barros"/>
    <x v="2"/>
    <x v="248"/>
    <x v="0"/>
    <n v="10"/>
    <x v="2"/>
    <x v="1"/>
    <s v="-"/>
    <x v="0"/>
    <n v="20"/>
    <n v="15"/>
    <n v="15"/>
    <n v="0"/>
    <n v="1"/>
  </r>
  <r>
    <n v="3481"/>
    <s v="Marcos Gomes"/>
    <x v="1"/>
    <x v="249"/>
    <x v="1"/>
    <n v="5"/>
    <x v="0"/>
    <x v="1"/>
    <s v="-"/>
    <x v="1"/>
    <n v="0"/>
    <n v="1"/>
    <n v="4"/>
    <n v="0"/>
    <n v="0"/>
  </r>
  <r>
    <n v="3482"/>
    <s v="Natália Soares"/>
    <x v="0"/>
    <x v="250"/>
    <x v="0"/>
    <n v="15"/>
    <x v="1"/>
    <x v="0"/>
    <n v="30"/>
    <x v="0"/>
    <n v="20"/>
    <n v="3"/>
    <n v="62"/>
    <n v="1"/>
    <n v="1"/>
  </r>
  <r>
    <n v="3483"/>
    <s v="Oscar Machado"/>
    <x v="2"/>
    <x v="251"/>
    <x v="1"/>
    <n v="10"/>
    <x v="0"/>
    <x v="1"/>
    <s v="-"/>
    <x v="0"/>
    <n v="20"/>
    <n v="10"/>
    <n v="20"/>
    <n v="0"/>
    <n v="1"/>
  </r>
  <r>
    <n v="3484"/>
    <s v="Patrícia Lima"/>
    <x v="1"/>
    <x v="252"/>
    <x v="0"/>
    <n v="5"/>
    <x v="2"/>
    <x v="1"/>
    <s v="-"/>
    <x v="1"/>
    <n v="0"/>
    <n v="0"/>
    <n v="5"/>
    <n v="0"/>
    <n v="0"/>
  </r>
  <r>
    <n v="3485"/>
    <s v="Quirino Neto"/>
    <x v="0"/>
    <x v="253"/>
    <x v="1"/>
    <n v="15"/>
    <x v="0"/>
    <x v="0"/>
    <n v="30"/>
    <x v="0"/>
    <n v="20"/>
    <n v="15"/>
    <n v="50"/>
    <n v="1"/>
    <n v="1"/>
  </r>
  <r>
    <n v="3486"/>
    <s v="Rafaela Souza"/>
    <x v="1"/>
    <x v="254"/>
    <x v="0"/>
    <n v="5"/>
    <x v="0"/>
    <x v="1"/>
    <s v="-"/>
    <x v="1"/>
    <n v="0"/>
    <n v="0"/>
    <n v="5"/>
    <n v="0"/>
    <n v="0"/>
  </r>
  <r>
    <n v="3487"/>
    <s v="Sandro Almeida"/>
    <x v="0"/>
    <x v="255"/>
    <x v="1"/>
    <n v="15"/>
    <x v="2"/>
    <x v="0"/>
    <n v="30"/>
    <x v="0"/>
    <n v="20"/>
    <n v="7"/>
    <n v="58"/>
    <n v="1"/>
    <n v="1"/>
  </r>
  <r>
    <n v="3488"/>
    <s v="Tânia Ribeiro"/>
    <x v="2"/>
    <x v="256"/>
    <x v="0"/>
    <n v="10"/>
    <x v="1"/>
    <x v="1"/>
    <s v="-"/>
    <x v="0"/>
    <n v="20"/>
    <n v="10"/>
    <n v="20"/>
    <n v="0"/>
    <n v="1"/>
  </r>
  <r>
    <n v="3489"/>
    <s v="Ugo Dias"/>
    <x v="1"/>
    <x v="257"/>
    <x v="1"/>
    <n v="5"/>
    <x v="2"/>
    <x v="1"/>
    <s v="-"/>
    <x v="1"/>
    <n v="0"/>
    <n v="1"/>
    <n v="4"/>
    <n v="0"/>
    <n v="0"/>
  </r>
  <r>
    <n v="3490"/>
    <s v="Valéria Lima"/>
    <x v="0"/>
    <x v="258"/>
    <x v="0"/>
    <n v="15"/>
    <x v="0"/>
    <x v="0"/>
    <n v="30"/>
    <x v="0"/>
    <n v="20"/>
    <n v="15"/>
    <n v="50"/>
    <n v="1"/>
    <n v="1"/>
  </r>
  <r>
    <n v="3491"/>
    <s v="William Fernandes"/>
    <x v="2"/>
    <x v="259"/>
    <x v="1"/>
    <n v="10"/>
    <x v="0"/>
    <x v="1"/>
    <s v="-"/>
    <x v="0"/>
    <n v="20"/>
    <n v="5"/>
    <n v="25"/>
    <n v="0"/>
    <n v="1"/>
  </r>
  <r>
    <n v="3492"/>
    <s v="Xuxa Mendes"/>
    <x v="1"/>
    <x v="260"/>
    <x v="0"/>
    <n v="5"/>
    <x v="1"/>
    <x v="1"/>
    <s v="-"/>
    <x v="1"/>
    <n v="0"/>
    <n v="0"/>
    <n v="5"/>
    <n v="0"/>
    <n v="0"/>
  </r>
  <r>
    <n v="3493"/>
    <s v="Ygor Farias"/>
    <x v="0"/>
    <x v="261"/>
    <x v="1"/>
    <n v="15"/>
    <x v="2"/>
    <x v="0"/>
    <n v="30"/>
    <x v="0"/>
    <n v="20"/>
    <n v="20"/>
    <n v="45"/>
    <n v="1"/>
    <n v="1"/>
  </r>
  <r>
    <n v="3494"/>
    <s v="Zilda Barros"/>
    <x v="2"/>
    <x v="262"/>
    <x v="0"/>
    <n v="10"/>
    <x v="2"/>
    <x v="1"/>
    <s v="-"/>
    <x v="0"/>
    <n v="20"/>
    <n v="12"/>
    <n v="18"/>
    <n v="0"/>
    <n v="1"/>
  </r>
  <r>
    <n v="3495"/>
    <s v="Amanda Santos"/>
    <x v="1"/>
    <x v="263"/>
    <x v="1"/>
    <n v="5"/>
    <x v="0"/>
    <x v="1"/>
    <s v="-"/>
    <x v="1"/>
    <n v="0"/>
    <n v="2"/>
    <n v="3"/>
    <n v="0"/>
    <n v="0"/>
  </r>
  <r>
    <n v="3496"/>
    <s v="Bruno Costa"/>
    <x v="0"/>
    <x v="264"/>
    <x v="0"/>
    <n v="15"/>
    <x v="1"/>
    <x v="0"/>
    <n v="30"/>
    <x v="0"/>
    <n v="20"/>
    <n v="5"/>
    <n v="60"/>
    <n v="1"/>
    <n v="1"/>
  </r>
  <r>
    <n v="3497"/>
    <s v="Carla Rodrigues"/>
    <x v="2"/>
    <x v="265"/>
    <x v="1"/>
    <n v="10"/>
    <x v="0"/>
    <x v="1"/>
    <s v="-"/>
    <x v="0"/>
    <n v="20"/>
    <n v="10"/>
    <n v="20"/>
    <n v="0"/>
    <n v="1"/>
  </r>
  <r>
    <n v="3498"/>
    <s v="Diogo Pereira"/>
    <x v="1"/>
    <x v="266"/>
    <x v="0"/>
    <n v="5"/>
    <x v="2"/>
    <x v="1"/>
    <s v="-"/>
    <x v="1"/>
    <n v="0"/>
    <n v="0"/>
    <n v="5"/>
    <n v="0"/>
    <n v="0"/>
  </r>
  <r>
    <n v="3499"/>
    <s v="Elisa Correia"/>
    <x v="0"/>
    <x v="267"/>
    <x v="1"/>
    <n v="15"/>
    <x v="0"/>
    <x v="0"/>
    <n v="30"/>
    <x v="0"/>
    <n v="20"/>
    <n v="3"/>
    <n v="62"/>
    <n v="1"/>
    <n v="1"/>
  </r>
  <r>
    <n v="3500"/>
    <s v="Fábio Lourenço"/>
    <x v="2"/>
    <x v="268"/>
    <x v="0"/>
    <n v="10"/>
    <x v="1"/>
    <x v="1"/>
    <s v="-"/>
    <x v="0"/>
    <n v="20"/>
    <n v="15"/>
    <n v="15"/>
    <n v="0"/>
    <n v="1"/>
  </r>
  <r>
    <n v="3501"/>
    <s v="Gabriela Neves"/>
    <x v="1"/>
    <x v="269"/>
    <x v="1"/>
    <n v="5"/>
    <x v="0"/>
    <x v="1"/>
    <s v="-"/>
    <x v="1"/>
    <n v="0"/>
    <n v="1"/>
    <n v="4"/>
    <n v="0"/>
    <n v="0"/>
  </r>
  <r>
    <n v="3502"/>
    <s v="Henrique Gonçalves"/>
    <x v="0"/>
    <x v="270"/>
    <x v="0"/>
    <n v="15"/>
    <x v="2"/>
    <x v="0"/>
    <n v="30"/>
    <x v="0"/>
    <n v="20"/>
    <n v="7"/>
    <n v="58"/>
    <n v="1"/>
    <n v="1"/>
  </r>
  <r>
    <n v="3503"/>
    <s v="Íris Santos"/>
    <x v="2"/>
    <x v="271"/>
    <x v="1"/>
    <n v="10"/>
    <x v="0"/>
    <x v="1"/>
    <s v="-"/>
    <x v="0"/>
    <n v="20"/>
    <n v="10"/>
    <n v="20"/>
    <n v="0"/>
    <n v="1"/>
  </r>
  <r>
    <n v="3504"/>
    <s v="João Marcelo Alves"/>
    <x v="1"/>
    <x v="272"/>
    <x v="0"/>
    <n v="5"/>
    <x v="1"/>
    <x v="1"/>
    <s v="-"/>
    <x v="1"/>
    <n v="0"/>
    <n v="0"/>
    <n v="5"/>
    <n v="0"/>
    <n v="0"/>
  </r>
  <r>
    <n v="3505"/>
    <s v="Klara Fonseca"/>
    <x v="0"/>
    <x v="273"/>
    <x v="1"/>
    <n v="15"/>
    <x v="0"/>
    <x v="0"/>
    <n v="30"/>
    <x v="0"/>
    <n v="20"/>
    <n v="20"/>
    <n v="45"/>
    <n v="1"/>
    <n v="1"/>
  </r>
  <r>
    <n v="3506"/>
    <s v="Lucas Mendonça"/>
    <x v="2"/>
    <x v="274"/>
    <x v="0"/>
    <n v="10"/>
    <x v="2"/>
    <x v="1"/>
    <s v="-"/>
    <x v="0"/>
    <n v="20"/>
    <n v="15"/>
    <n v="15"/>
    <n v="0"/>
    <n v="1"/>
  </r>
  <r>
    <n v="3507"/>
    <s v="Marcela Torres"/>
    <x v="1"/>
    <x v="275"/>
    <x v="1"/>
    <n v="5"/>
    <x v="0"/>
    <x v="1"/>
    <s v="-"/>
    <x v="1"/>
    <n v="0"/>
    <n v="1"/>
    <n v="4"/>
    <n v="0"/>
    <n v="0"/>
  </r>
  <r>
    <n v="3508"/>
    <s v="Natália Castro"/>
    <x v="0"/>
    <x v="276"/>
    <x v="0"/>
    <n v="15"/>
    <x v="1"/>
    <x v="0"/>
    <n v="30"/>
    <x v="0"/>
    <n v="20"/>
    <n v="3"/>
    <n v="62"/>
    <n v="1"/>
    <n v="1"/>
  </r>
  <r>
    <n v="3509"/>
    <s v="Oscar Martins"/>
    <x v="2"/>
    <x v="277"/>
    <x v="1"/>
    <n v="10"/>
    <x v="0"/>
    <x v="1"/>
    <s v="-"/>
    <x v="0"/>
    <n v="20"/>
    <n v="10"/>
    <n v="20"/>
    <n v="0"/>
    <n v="1"/>
  </r>
  <r>
    <n v="3510"/>
    <s v="Patrícia Oliveira"/>
    <x v="1"/>
    <x v="278"/>
    <x v="0"/>
    <n v="5"/>
    <x v="2"/>
    <x v="1"/>
    <s v="-"/>
    <x v="1"/>
    <n v="0"/>
    <n v="0"/>
    <n v="5"/>
    <n v="0"/>
    <n v="0"/>
  </r>
  <r>
    <n v="3511"/>
    <s v="Quentin Nogueira"/>
    <x v="0"/>
    <x v="279"/>
    <x v="1"/>
    <n v="15"/>
    <x v="0"/>
    <x v="0"/>
    <n v="30"/>
    <x v="0"/>
    <n v="20"/>
    <n v="15"/>
    <n v="50"/>
    <n v="1"/>
    <n v="1"/>
  </r>
  <r>
    <n v="3512"/>
    <s v="Raquel Silva"/>
    <x v="2"/>
    <x v="280"/>
    <x v="0"/>
    <n v="10"/>
    <x v="1"/>
    <x v="1"/>
    <s v="-"/>
    <x v="0"/>
    <n v="20"/>
    <n v="15"/>
    <n v="15"/>
    <n v="0"/>
    <n v="1"/>
  </r>
  <r>
    <n v="3513"/>
    <s v="Sandro Gomes"/>
    <x v="1"/>
    <x v="281"/>
    <x v="1"/>
    <n v="5"/>
    <x v="0"/>
    <x v="1"/>
    <s v="-"/>
    <x v="1"/>
    <n v="0"/>
    <n v="1"/>
    <n v="4"/>
    <n v="0"/>
    <n v="0"/>
  </r>
  <r>
    <n v="3514"/>
    <s v="Tânia Machado"/>
    <x v="0"/>
    <x v="282"/>
    <x v="0"/>
    <n v="15"/>
    <x v="2"/>
    <x v="0"/>
    <n v="30"/>
    <x v="0"/>
    <n v="20"/>
    <n v="7"/>
    <n v="58"/>
    <n v="1"/>
    <n v="1"/>
  </r>
  <r>
    <n v="3515"/>
    <s v="Ursula Silva"/>
    <x v="2"/>
    <x v="283"/>
    <x v="1"/>
    <n v="10"/>
    <x v="0"/>
    <x v="1"/>
    <s v="-"/>
    <x v="0"/>
    <n v="20"/>
    <n v="10"/>
    <n v="20"/>
    <n v="0"/>
    <n v="1"/>
  </r>
  <r>
    <n v="3516"/>
    <s v="Vanessa Moraes"/>
    <x v="1"/>
    <x v="284"/>
    <x v="0"/>
    <n v="5"/>
    <x v="1"/>
    <x v="1"/>
    <s v="-"/>
    <x v="1"/>
    <n v="0"/>
    <n v="0"/>
    <n v="5"/>
    <n v="0"/>
    <n v="0"/>
  </r>
  <r>
    <n v="3517"/>
    <s v="William Carvalho"/>
    <x v="0"/>
    <x v="285"/>
    <x v="1"/>
    <n v="15"/>
    <x v="0"/>
    <x v="0"/>
    <n v="30"/>
    <x v="0"/>
    <n v="20"/>
    <n v="20"/>
    <n v="45"/>
    <n v="1"/>
    <n v="1"/>
  </r>
  <r>
    <n v="3518"/>
    <s v="Xavier Reis"/>
    <x v="2"/>
    <x v="286"/>
    <x v="0"/>
    <n v="10"/>
    <x v="2"/>
    <x v="1"/>
    <s v="-"/>
    <x v="0"/>
    <n v="20"/>
    <n v="12"/>
    <n v="18"/>
    <n v="0"/>
    <n v="1"/>
  </r>
  <r>
    <n v="3519"/>
    <s v="Yasmin Rocha"/>
    <x v="1"/>
    <x v="287"/>
    <x v="1"/>
    <n v="5"/>
    <x v="0"/>
    <x v="1"/>
    <s v="-"/>
    <x v="1"/>
    <n v="0"/>
    <n v="2"/>
    <n v="3"/>
    <n v="0"/>
    <n v="0"/>
  </r>
  <r>
    <n v="3520"/>
    <s v="Zacarias Duarte"/>
    <x v="0"/>
    <x v="288"/>
    <x v="0"/>
    <n v="15"/>
    <x v="1"/>
    <x v="0"/>
    <n v="30"/>
    <x v="0"/>
    <n v="20"/>
    <n v="5"/>
    <n v="60"/>
    <n v="1"/>
    <n v="1"/>
  </r>
  <r>
    <n v="3521"/>
    <s v="Amanda Freitas"/>
    <x v="2"/>
    <x v="289"/>
    <x v="1"/>
    <n v="10"/>
    <x v="0"/>
    <x v="1"/>
    <s v="-"/>
    <x v="0"/>
    <n v="20"/>
    <n v="10"/>
    <n v="20"/>
    <n v="0"/>
    <n v="1"/>
  </r>
  <r>
    <n v="3522"/>
    <s v="Bruno Almeida"/>
    <x v="1"/>
    <x v="290"/>
    <x v="0"/>
    <n v="5"/>
    <x v="2"/>
    <x v="1"/>
    <s v="-"/>
    <x v="1"/>
    <n v="0"/>
    <n v="0"/>
    <n v="5"/>
    <n v="0"/>
    <n v="0"/>
  </r>
  <r>
    <n v="3523"/>
    <s v="Carla Siqueira"/>
    <x v="0"/>
    <x v="291"/>
    <x v="1"/>
    <n v="15"/>
    <x v="0"/>
    <x v="0"/>
    <n v="30"/>
    <x v="0"/>
    <n v="20"/>
    <n v="3"/>
    <n v="62"/>
    <n v="1"/>
    <n v="1"/>
  </r>
  <r>
    <n v="3524"/>
    <s v="Diogo Ramos"/>
    <x v="2"/>
    <x v="292"/>
    <x v="0"/>
    <n v="10"/>
    <x v="1"/>
    <x v="1"/>
    <s v="-"/>
    <x v="0"/>
    <n v="20"/>
    <n v="15"/>
    <n v="15"/>
    <n v="0"/>
    <n v="1"/>
  </r>
  <r>
    <n v="3525"/>
    <s v="Elisa Magalhães"/>
    <x v="1"/>
    <x v="293"/>
    <x v="1"/>
    <n v="5"/>
    <x v="0"/>
    <x v="1"/>
    <s v="-"/>
    <x v="1"/>
    <n v="0"/>
    <n v="1"/>
    <n v="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8">
  <location ref="B53:C66" firstHeaderRow="1" firstDataRow="1" firstDataCol="1" rowPageCount="1" colPageCount="1"/>
  <pivotFields count="16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ataField="1"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Qtde EA Play Season" fld="13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2">
  <location ref="B71:C84" firstHeaderRow="1" firstDataRow="1" firstDataCol="1" rowPageCount="1" colPageCount="1"/>
  <pivotFields count="16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/>
    <pivotField dataField="1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Qtde Minecraft" fld="14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8">
  <location ref="B90:C103" firstHeaderRow="1" firstDataRow="1" firstDataCol="1" rowPageCount="1" colPageCount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dataField="1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Contagem de Subscription Type" fld="6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0">
  <location ref="B43:C47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3">
      <pivotArea outline="0" collapsedLevelsAreSubtotals="1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  <pivotTable tabId="3" name="Tabela dinâmica3"/>
    <pivotTable tabId="3" name="Tabela dinâmica1"/>
    <pivotTable tabId="3" name="Tabela dinâmica2"/>
    <pivotTable tabId="3" name="Tabela dinâmica4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O296" totalsRowShown="0" dataDxfId="19">
  <autoFilter ref="A1:O296"/>
  <tableColumns count="15">
    <tableColumn id="1" name="Subscriber ID" dataDxfId="18"/>
    <tableColumn id="2" name="Name" dataDxfId="17"/>
    <tableColumn id="3" name="Plan" dataDxfId="16"/>
    <tableColumn id="4" name="Start Date" dataDxfId="15"/>
    <tableColumn id="5" name="Auto Renewal" dataDxfId="14"/>
    <tableColumn id="6" name="Subscription Price" dataDxfId="13" dataCellStyle="Moeda"/>
    <tableColumn id="7" name="Subscription Type" dataDxfId="12"/>
    <tableColumn id="8" name="EA Play Season Pass" dataDxfId="11"/>
    <tableColumn id="13" name="EA Play Season Pass_x000a_Price" dataDxfId="10" dataCellStyle="Moeda"/>
    <tableColumn id="9" name="Minecraft Season Pass" dataDxfId="9"/>
    <tableColumn id="10" name="Minecraft Season Pass Price" dataDxfId="8" dataCellStyle="Moeda"/>
    <tableColumn id="11" name="Coupon Value" dataDxfId="7" dataCellStyle="Moeda"/>
    <tableColumn id="12" name="Total Value" dataDxfId="6" dataCellStyle="Moeda"/>
    <tableColumn id="14" name="Qtde EA Play Season" dataDxfId="5" dataCellStyle="Moeda">
      <calculatedColumnFormula>COUNTIF(Tabela1[[#This Row],[EA Play Season Pass]],"Yes")</calculatedColumnFormula>
    </tableColumn>
    <tableColumn id="15" name="Qtde Minecraft" dataDxfId="4" dataCellStyle="Moeda">
      <calculatedColumnFormula>COUNTIF(Tabela1[[#This Row],[Minecraft Season Pass]],"Yes")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L22" sqref="L2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O296"/>
  <sheetViews>
    <sheetView zoomScale="90" zoomScaleNormal="90" workbookViewId="0">
      <selection activeCell="F3" sqref="F3"/>
    </sheetView>
  </sheetViews>
  <sheetFormatPr defaultRowHeight="14.25"/>
  <cols>
    <col min="1" max="1" width="17.875" bestFit="1" customWidth="1"/>
    <col min="2" max="2" width="18.875" bestFit="1" customWidth="1"/>
    <col min="3" max="3" width="10.5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  <col min="14" max="14" width="13.25" customWidth="1"/>
    <col min="15" max="15" width="16.625" style="15" customWidth="1"/>
    <col min="16" max="16" width="16.5" customWidth="1"/>
  </cols>
  <sheetData>
    <row r="1" spans="1:15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  <c r="N1" s="22" t="s">
        <v>334</v>
      </c>
      <c r="O1" s="15" t="s">
        <v>336</v>
      </c>
    </row>
    <row r="2" spans="1:15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21">
        <f>COUNTIF(Tabela1[[#This Row],[EA Play Season Pass]],"Yes")</f>
        <v>1</v>
      </c>
      <c r="O2" s="21">
        <f>COUNTIF(Tabela1[[#This Row],[Minecraft Season Pass]],"Yes")</f>
        <v>1</v>
      </c>
    </row>
    <row r="3" spans="1:15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  <c r="N3" s="21">
        <f>COUNTIF(Tabela1[[#This Row],[EA Play Season Pass]],"Yes")</f>
        <v>0</v>
      </c>
      <c r="O3" s="21">
        <f>COUNTIF(Tabela1[[#This Row],[Minecraft Season Pass]],"Yes")</f>
        <v>0</v>
      </c>
    </row>
    <row r="4" spans="1:15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  <c r="N4" s="21">
        <f>COUNTIF(Tabela1[[#This Row],[EA Play Season Pass]],"Yes")</f>
        <v>0</v>
      </c>
      <c r="O4" s="21">
        <f>COUNTIF(Tabela1[[#This Row],[Minecraft Season Pass]],"Yes")</f>
        <v>1</v>
      </c>
    </row>
    <row r="5" spans="1:15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21">
        <f>COUNTIF(Tabela1[[#This Row],[EA Play Season Pass]],"Yes")</f>
        <v>1</v>
      </c>
      <c r="O5" s="21">
        <f>COUNTIF(Tabela1[[#This Row],[Minecraft Season Pass]],"Yes")</f>
        <v>1</v>
      </c>
    </row>
    <row r="6" spans="1:15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  <c r="N6" s="21">
        <f>COUNTIF(Tabela1[[#This Row],[EA Play Season Pass]],"Yes")</f>
        <v>0</v>
      </c>
      <c r="O6" s="21">
        <f>COUNTIF(Tabela1[[#This Row],[Minecraft Season Pass]],"Yes")</f>
        <v>0</v>
      </c>
    </row>
    <row r="7" spans="1:15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  <c r="N7" s="21">
        <f>COUNTIF(Tabela1[[#This Row],[EA Play Season Pass]],"Yes")</f>
        <v>0</v>
      </c>
      <c r="O7" s="21">
        <f>COUNTIF(Tabela1[[#This Row],[Minecraft Season Pass]],"Yes")</f>
        <v>1</v>
      </c>
    </row>
    <row r="8" spans="1:15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21">
        <f>COUNTIF(Tabela1[[#This Row],[EA Play Season Pass]],"Yes")</f>
        <v>1</v>
      </c>
      <c r="O8" s="21">
        <f>COUNTIF(Tabela1[[#This Row],[Minecraft Season Pass]],"Yes")</f>
        <v>1</v>
      </c>
    </row>
    <row r="9" spans="1:15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  <c r="N9" s="21">
        <f>COUNTIF(Tabela1[[#This Row],[EA Play Season Pass]],"Yes")</f>
        <v>0</v>
      </c>
      <c r="O9" s="21">
        <f>COUNTIF(Tabela1[[#This Row],[Minecraft Season Pass]],"Yes")</f>
        <v>0</v>
      </c>
    </row>
    <row r="10" spans="1:15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21">
        <f>COUNTIF(Tabela1[[#This Row],[EA Play Season Pass]],"Yes")</f>
        <v>1</v>
      </c>
      <c r="O10" s="21">
        <f>COUNTIF(Tabela1[[#This Row],[Minecraft Season Pass]],"Yes")</f>
        <v>1</v>
      </c>
    </row>
    <row r="11" spans="1:15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  <c r="N11" s="21">
        <f>COUNTIF(Tabela1[[#This Row],[EA Play Season Pass]],"Yes")</f>
        <v>0</v>
      </c>
      <c r="O11" s="21">
        <f>COUNTIF(Tabela1[[#This Row],[Minecraft Season Pass]],"Yes")</f>
        <v>1</v>
      </c>
    </row>
    <row r="12" spans="1:15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  <c r="N12" s="21">
        <f>COUNTIF(Tabela1[[#This Row],[EA Play Season Pass]],"Yes")</f>
        <v>0</v>
      </c>
      <c r="O12" s="21">
        <f>COUNTIF(Tabela1[[#This Row],[Minecraft Season Pass]],"Yes")</f>
        <v>0</v>
      </c>
    </row>
    <row r="13" spans="1:15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21">
        <f>COUNTIF(Tabela1[[#This Row],[EA Play Season Pass]],"Yes")</f>
        <v>1</v>
      </c>
      <c r="O13" s="21">
        <f>COUNTIF(Tabela1[[#This Row],[Minecraft Season Pass]],"Yes")</f>
        <v>1</v>
      </c>
    </row>
    <row r="14" spans="1:15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  <c r="N14" s="21">
        <f>COUNTIF(Tabela1[[#This Row],[EA Play Season Pass]],"Yes")</f>
        <v>0</v>
      </c>
      <c r="O14" s="21">
        <f>COUNTIF(Tabela1[[#This Row],[Minecraft Season Pass]],"Yes")</f>
        <v>1</v>
      </c>
    </row>
    <row r="15" spans="1:15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  <c r="N15" s="21">
        <f>COUNTIF(Tabela1[[#This Row],[EA Play Season Pass]],"Yes")</f>
        <v>0</v>
      </c>
      <c r="O15" s="21">
        <f>COUNTIF(Tabela1[[#This Row],[Minecraft Season Pass]],"Yes")</f>
        <v>0</v>
      </c>
    </row>
    <row r="16" spans="1:15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21">
        <f>COUNTIF(Tabela1[[#This Row],[EA Play Season Pass]],"Yes")</f>
        <v>1</v>
      </c>
      <c r="O16" s="21">
        <f>COUNTIF(Tabela1[[#This Row],[Minecraft Season Pass]],"Yes")</f>
        <v>1</v>
      </c>
    </row>
    <row r="17" spans="1:15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  <c r="N17" s="21">
        <f>COUNTIF(Tabela1[[#This Row],[EA Play Season Pass]],"Yes")</f>
        <v>0</v>
      </c>
      <c r="O17" s="21">
        <f>COUNTIF(Tabela1[[#This Row],[Minecraft Season Pass]],"Yes")</f>
        <v>1</v>
      </c>
    </row>
    <row r="18" spans="1:15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  <c r="N18" s="21">
        <f>COUNTIF(Tabela1[[#This Row],[EA Play Season Pass]],"Yes")</f>
        <v>0</v>
      </c>
      <c r="O18" s="21">
        <f>COUNTIF(Tabela1[[#This Row],[Minecraft Season Pass]],"Yes")</f>
        <v>0</v>
      </c>
    </row>
    <row r="19" spans="1:15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21">
        <f>COUNTIF(Tabela1[[#This Row],[EA Play Season Pass]],"Yes")</f>
        <v>1</v>
      </c>
      <c r="O19" s="21">
        <f>COUNTIF(Tabela1[[#This Row],[Minecraft Season Pass]],"Yes")</f>
        <v>1</v>
      </c>
    </row>
    <row r="20" spans="1:15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  <c r="N20" s="21">
        <f>COUNTIF(Tabela1[[#This Row],[EA Play Season Pass]],"Yes")</f>
        <v>0</v>
      </c>
      <c r="O20" s="21">
        <f>COUNTIF(Tabela1[[#This Row],[Minecraft Season Pass]],"Yes")</f>
        <v>1</v>
      </c>
    </row>
    <row r="21" spans="1:15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  <c r="N21" s="21">
        <f>COUNTIF(Tabela1[[#This Row],[EA Play Season Pass]],"Yes")</f>
        <v>0</v>
      </c>
      <c r="O21" s="21">
        <f>COUNTIF(Tabela1[[#This Row],[Minecraft Season Pass]],"Yes")</f>
        <v>0</v>
      </c>
    </row>
    <row r="22" spans="1:15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21">
        <f>COUNTIF(Tabela1[[#This Row],[EA Play Season Pass]],"Yes")</f>
        <v>1</v>
      </c>
      <c r="O22" s="21">
        <f>COUNTIF(Tabela1[[#This Row],[Minecraft Season Pass]],"Yes")</f>
        <v>1</v>
      </c>
    </row>
    <row r="23" spans="1:15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  <c r="N23" s="21">
        <f>COUNTIF(Tabela1[[#This Row],[EA Play Season Pass]],"Yes")</f>
        <v>0</v>
      </c>
      <c r="O23" s="21">
        <f>COUNTIF(Tabela1[[#This Row],[Minecraft Season Pass]],"Yes")</f>
        <v>1</v>
      </c>
    </row>
    <row r="24" spans="1:15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  <c r="N24" s="21">
        <f>COUNTIF(Tabela1[[#This Row],[EA Play Season Pass]],"Yes")</f>
        <v>0</v>
      </c>
      <c r="O24" s="21">
        <f>COUNTIF(Tabela1[[#This Row],[Minecraft Season Pass]],"Yes")</f>
        <v>0</v>
      </c>
    </row>
    <row r="25" spans="1:15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21">
        <f>COUNTIF(Tabela1[[#This Row],[EA Play Season Pass]],"Yes")</f>
        <v>1</v>
      </c>
      <c r="O25" s="21">
        <f>COUNTIF(Tabela1[[#This Row],[Minecraft Season Pass]],"Yes")</f>
        <v>1</v>
      </c>
    </row>
    <row r="26" spans="1:15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  <c r="N26" s="21">
        <f>COUNTIF(Tabela1[[#This Row],[EA Play Season Pass]],"Yes")</f>
        <v>0</v>
      </c>
      <c r="O26" s="21">
        <f>COUNTIF(Tabela1[[#This Row],[Minecraft Season Pass]],"Yes")</f>
        <v>1</v>
      </c>
    </row>
    <row r="27" spans="1:15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  <c r="N27" s="21">
        <f>COUNTIF(Tabela1[[#This Row],[EA Play Season Pass]],"Yes")</f>
        <v>0</v>
      </c>
      <c r="O27" s="21">
        <f>COUNTIF(Tabela1[[#This Row],[Minecraft Season Pass]],"Yes")</f>
        <v>0</v>
      </c>
    </row>
    <row r="28" spans="1:15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21">
        <f>COUNTIF(Tabela1[[#This Row],[EA Play Season Pass]],"Yes")</f>
        <v>1</v>
      </c>
      <c r="O28" s="21">
        <f>COUNTIF(Tabela1[[#This Row],[Minecraft Season Pass]],"Yes")</f>
        <v>1</v>
      </c>
    </row>
    <row r="29" spans="1:15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  <c r="N29" s="21">
        <f>COUNTIF(Tabela1[[#This Row],[EA Play Season Pass]],"Yes")</f>
        <v>0</v>
      </c>
      <c r="O29" s="21">
        <f>COUNTIF(Tabela1[[#This Row],[Minecraft Season Pass]],"Yes")</f>
        <v>1</v>
      </c>
    </row>
    <row r="30" spans="1:15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  <c r="N30" s="21">
        <f>COUNTIF(Tabela1[[#This Row],[EA Play Season Pass]],"Yes")</f>
        <v>0</v>
      </c>
      <c r="O30" s="21">
        <f>COUNTIF(Tabela1[[#This Row],[Minecraft Season Pass]],"Yes")</f>
        <v>0</v>
      </c>
    </row>
    <row r="31" spans="1:15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21">
        <f>COUNTIF(Tabela1[[#This Row],[EA Play Season Pass]],"Yes")</f>
        <v>1</v>
      </c>
      <c r="O31" s="21">
        <f>COUNTIF(Tabela1[[#This Row],[Minecraft Season Pass]],"Yes")</f>
        <v>1</v>
      </c>
    </row>
    <row r="32" spans="1:15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  <c r="N32" s="21">
        <f>COUNTIF(Tabela1[[#This Row],[EA Play Season Pass]],"Yes")</f>
        <v>0</v>
      </c>
      <c r="O32" s="21">
        <f>COUNTIF(Tabela1[[#This Row],[Minecraft Season Pass]],"Yes")</f>
        <v>1</v>
      </c>
    </row>
    <row r="33" spans="1:15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  <c r="N33" s="21">
        <f>COUNTIF(Tabela1[[#This Row],[EA Play Season Pass]],"Yes")</f>
        <v>0</v>
      </c>
      <c r="O33" s="21">
        <f>COUNTIF(Tabela1[[#This Row],[Minecraft Season Pass]],"Yes")</f>
        <v>0</v>
      </c>
    </row>
    <row r="34" spans="1:15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21">
        <f>COUNTIF(Tabela1[[#This Row],[EA Play Season Pass]],"Yes")</f>
        <v>1</v>
      </c>
      <c r="O34" s="21">
        <f>COUNTIF(Tabela1[[#This Row],[Minecraft Season Pass]],"Yes")</f>
        <v>1</v>
      </c>
    </row>
    <row r="35" spans="1:15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  <c r="N35" s="21">
        <f>COUNTIF(Tabela1[[#This Row],[EA Play Season Pass]],"Yes")</f>
        <v>0</v>
      </c>
      <c r="O35" s="21">
        <f>COUNTIF(Tabela1[[#This Row],[Minecraft Season Pass]],"Yes")</f>
        <v>1</v>
      </c>
    </row>
    <row r="36" spans="1:15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  <c r="N36" s="21">
        <f>COUNTIF(Tabela1[[#This Row],[EA Play Season Pass]],"Yes")</f>
        <v>0</v>
      </c>
      <c r="O36" s="21">
        <f>COUNTIF(Tabela1[[#This Row],[Minecraft Season Pass]],"Yes")</f>
        <v>0</v>
      </c>
    </row>
    <row r="37" spans="1:15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  <c r="N37" s="21">
        <f>COUNTIF(Tabela1[[#This Row],[EA Play Season Pass]],"Yes")</f>
        <v>0</v>
      </c>
      <c r="O37" s="21">
        <f>COUNTIF(Tabela1[[#This Row],[Minecraft Season Pass]],"Yes")</f>
        <v>0</v>
      </c>
    </row>
    <row r="38" spans="1:15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21">
        <f>COUNTIF(Tabela1[[#This Row],[EA Play Season Pass]],"Yes")</f>
        <v>1</v>
      </c>
      <c r="O38" s="21">
        <f>COUNTIF(Tabela1[[#This Row],[Minecraft Season Pass]],"Yes")</f>
        <v>1</v>
      </c>
    </row>
    <row r="39" spans="1:15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  <c r="N39" s="21">
        <f>COUNTIF(Tabela1[[#This Row],[EA Play Season Pass]],"Yes")</f>
        <v>0</v>
      </c>
      <c r="O39" s="21">
        <f>COUNTIF(Tabela1[[#This Row],[Minecraft Season Pass]],"Yes")</f>
        <v>1</v>
      </c>
    </row>
    <row r="40" spans="1:15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  <c r="N40" s="21">
        <f>COUNTIF(Tabela1[[#This Row],[EA Play Season Pass]],"Yes")</f>
        <v>0</v>
      </c>
      <c r="O40" s="21">
        <f>COUNTIF(Tabela1[[#This Row],[Minecraft Season Pass]],"Yes")</f>
        <v>0</v>
      </c>
    </row>
    <row r="41" spans="1:15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21">
        <f>COUNTIF(Tabela1[[#This Row],[EA Play Season Pass]],"Yes")</f>
        <v>1</v>
      </c>
      <c r="O41" s="21">
        <f>COUNTIF(Tabela1[[#This Row],[Minecraft Season Pass]],"Yes")</f>
        <v>1</v>
      </c>
    </row>
    <row r="42" spans="1:15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  <c r="N42" s="21">
        <f>COUNTIF(Tabela1[[#This Row],[EA Play Season Pass]],"Yes")</f>
        <v>0</v>
      </c>
      <c r="O42" s="21">
        <f>COUNTIF(Tabela1[[#This Row],[Minecraft Season Pass]],"Yes")</f>
        <v>1</v>
      </c>
    </row>
    <row r="43" spans="1:15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  <c r="N43" s="21">
        <f>COUNTIF(Tabela1[[#This Row],[EA Play Season Pass]],"Yes")</f>
        <v>0</v>
      </c>
      <c r="O43" s="21">
        <f>COUNTIF(Tabela1[[#This Row],[Minecraft Season Pass]],"Yes")</f>
        <v>0</v>
      </c>
    </row>
    <row r="44" spans="1:15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21">
        <f>COUNTIF(Tabela1[[#This Row],[EA Play Season Pass]],"Yes")</f>
        <v>1</v>
      </c>
      <c r="O44" s="21">
        <f>COUNTIF(Tabela1[[#This Row],[Minecraft Season Pass]],"Yes")</f>
        <v>1</v>
      </c>
    </row>
    <row r="45" spans="1:15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  <c r="N45" s="21">
        <f>COUNTIF(Tabela1[[#This Row],[EA Play Season Pass]],"Yes")</f>
        <v>0</v>
      </c>
      <c r="O45" s="21">
        <f>COUNTIF(Tabela1[[#This Row],[Minecraft Season Pass]],"Yes")</f>
        <v>1</v>
      </c>
    </row>
    <row r="46" spans="1:15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  <c r="N46" s="21">
        <f>COUNTIF(Tabela1[[#This Row],[EA Play Season Pass]],"Yes")</f>
        <v>0</v>
      </c>
      <c r="O46" s="21">
        <f>COUNTIF(Tabela1[[#This Row],[Minecraft Season Pass]],"Yes")</f>
        <v>0</v>
      </c>
    </row>
    <row r="47" spans="1:15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21">
        <f>COUNTIF(Tabela1[[#This Row],[EA Play Season Pass]],"Yes")</f>
        <v>1</v>
      </c>
      <c r="O47" s="21">
        <f>COUNTIF(Tabela1[[#This Row],[Minecraft Season Pass]],"Yes")</f>
        <v>1</v>
      </c>
    </row>
    <row r="48" spans="1:15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  <c r="N48" s="21">
        <f>COUNTIF(Tabela1[[#This Row],[EA Play Season Pass]],"Yes")</f>
        <v>0</v>
      </c>
      <c r="O48" s="21">
        <f>COUNTIF(Tabela1[[#This Row],[Minecraft Season Pass]],"Yes")</f>
        <v>1</v>
      </c>
    </row>
    <row r="49" spans="1:15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  <c r="N49" s="21">
        <f>COUNTIF(Tabela1[[#This Row],[EA Play Season Pass]],"Yes")</f>
        <v>0</v>
      </c>
      <c r="O49" s="21">
        <f>COUNTIF(Tabela1[[#This Row],[Minecraft Season Pass]],"Yes")</f>
        <v>0</v>
      </c>
    </row>
    <row r="50" spans="1:15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21">
        <f>COUNTIF(Tabela1[[#This Row],[EA Play Season Pass]],"Yes")</f>
        <v>1</v>
      </c>
      <c r="O50" s="21">
        <f>COUNTIF(Tabela1[[#This Row],[Minecraft Season Pass]],"Yes")</f>
        <v>1</v>
      </c>
    </row>
    <row r="51" spans="1:15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  <c r="N51" s="21">
        <f>COUNTIF(Tabela1[[#This Row],[EA Play Season Pass]],"Yes")</f>
        <v>0</v>
      </c>
      <c r="O51" s="21">
        <f>COUNTIF(Tabela1[[#This Row],[Minecraft Season Pass]],"Yes")</f>
        <v>1</v>
      </c>
    </row>
    <row r="52" spans="1:15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  <c r="N52" s="21">
        <f>COUNTIF(Tabela1[[#This Row],[EA Play Season Pass]],"Yes")</f>
        <v>0</v>
      </c>
      <c r="O52" s="21">
        <f>COUNTIF(Tabela1[[#This Row],[Minecraft Season Pass]],"Yes")</f>
        <v>0</v>
      </c>
    </row>
    <row r="53" spans="1:15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21">
        <f>COUNTIF(Tabela1[[#This Row],[EA Play Season Pass]],"Yes")</f>
        <v>1</v>
      </c>
      <c r="O53" s="21">
        <f>COUNTIF(Tabela1[[#This Row],[Minecraft Season Pass]],"Yes")</f>
        <v>1</v>
      </c>
    </row>
    <row r="54" spans="1:15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  <c r="N54" s="21">
        <f>COUNTIF(Tabela1[[#This Row],[EA Play Season Pass]],"Yes")</f>
        <v>0</v>
      </c>
      <c r="O54" s="21">
        <f>COUNTIF(Tabela1[[#This Row],[Minecraft Season Pass]],"Yes")</f>
        <v>1</v>
      </c>
    </row>
    <row r="55" spans="1:15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  <c r="N55" s="21">
        <f>COUNTIF(Tabela1[[#This Row],[EA Play Season Pass]],"Yes")</f>
        <v>0</v>
      </c>
      <c r="O55" s="21">
        <f>COUNTIF(Tabela1[[#This Row],[Minecraft Season Pass]],"Yes")</f>
        <v>0</v>
      </c>
    </row>
    <row r="56" spans="1:15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21">
        <f>COUNTIF(Tabela1[[#This Row],[EA Play Season Pass]],"Yes")</f>
        <v>1</v>
      </c>
      <c r="O56" s="21">
        <f>COUNTIF(Tabela1[[#This Row],[Minecraft Season Pass]],"Yes")</f>
        <v>1</v>
      </c>
    </row>
    <row r="57" spans="1:15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  <c r="N57" s="21">
        <f>COUNTIF(Tabela1[[#This Row],[EA Play Season Pass]],"Yes")</f>
        <v>0</v>
      </c>
      <c r="O57" s="21">
        <f>COUNTIF(Tabela1[[#This Row],[Minecraft Season Pass]],"Yes")</f>
        <v>1</v>
      </c>
    </row>
    <row r="58" spans="1:15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  <c r="N58" s="21">
        <f>COUNTIF(Tabela1[[#This Row],[EA Play Season Pass]],"Yes")</f>
        <v>0</v>
      </c>
      <c r="O58" s="21">
        <f>COUNTIF(Tabela1[[#This Row],[Minecraft Season Pass]],"Yes")</f>
        <v>0</v>
      </c>
    </row>
    <row r="59" spans="1:15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21">
        <f>COUNTIF(Tabela1[[#This Row],[EA Play Season Pass]],"Yes")</f>
        <v>1</v>
      </c>
      <c r="O59" s="21">
        <f>COUNTIF(Tabela1[[#This Row],[Minecraft Season Pass]],"Yes")</f>
        <v>1</v>
      </c>
    </row>
    <row r="60" spans="1:15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  <c r="N60" s="21">
        <f>COUNTIF(Tabela1[[#This Row],[EA Play Season Pass]],"Yes")</f>
        <v>0</v>
      </c>
      <c r="O60" s="21">
        <f>COUNTIF(Tabela1[[#This Row],[Minecraft Season Pass]],"Yes")</f>
        <v>1</v>
      </c>
    </row>
    <row r="61" spans="1:15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  <c r="N61" s="21">
        <f>COUNTIF(Tabela1[[#This Row],[EA Play Season Pass]],"Yes")</f>
        <v>0</v>
      </c>
      <c r="O61" s="21">
        <f>COUNTIF(Tabela1[[#This Row],[Minecraft Season Pass]],"Yes")</f>
        <v>0</v>
      </c>
    </row>
    <row r="62" spans="1:15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21">
        <f>COUNTIF(Tabela1[[#This Row],[EA Play Season Pass]],"Yes")</f>
        <v>1</v>
      </c>
      <c r="O62" s="21">
        <f>COUNTIF(Tabela1[[#This Row],[Minecraft Season Pass]],"Yes")</f>
        <v>1</v>
      </c>
    </row>
    <row r="63" spans="1:15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  <c r="N63" s="21">
        <f>COUNTIF(Tabela1[[#This Row],[EA Play Season Pass]],"Yes")</f>
        <v>0</v>
      </c>
      <c r="O63" s="21">
        <f>COUNTIF(Tabela1[[#This Row],[Minecraft Season Pass]],"Yes")</f>
        <v>1</v>
      </c>
    </row>
    <row r="64" spans="1:15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  <c r="N64" s="21">
        <f>COUNTIF(Tabela1[[#This Row],[EA Play Season Pass]],"Yes")</f>
        <v>0</v>
      </c>
      <c r="O64" s="21">
        <f>COUNTIF(Tabela1[[#This Row],[Minecraft Season Pass]],"Yes")</f>
        <v>0</v>
      </c>
    </row>
    <row r="65" spans="1:15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21">
        <f>COUNTIF(Tabela1[[#This Row],[EA Play Season Pass]],"Yes")</f>
        <v>1</v>
      </c>
      <c r="O65" s="21">
        <f>COUNTIF(Tabela1[[#This Row],[Minecraft Season Pass]],"Yes")</f>
        <v>1</v>
      </c>
    </row>
    <row r="66" spans="1:15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  <c r="N66" s="21">
        <f>COUNTIF(Tabela1[[#This Row],[EA Play Season Pass]],"Yes")</f>
        <v>0</v>
      </c>
      <c r="O66" s="21">
        <f>COUNTIF(Tabela1[[#This Row],[Minecraft Season Pass]],"Yes")</f>
        <v>1</v>
      </c>
    </row>
    <row r="67" spans="1:15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  <c r="N67" s="21">
        <f>COUNTIF(Tabela1[[#This Row],[EA Play Season Pass]],"Yes")</f>
        <v>0</v>
      </c>
      <c r="O67" s="21">
        <f>COUNTIF(Tabela1[[#This Row],[Minecraft Season Pass]],"Yes")</f>
        <v>0</v>
      </c>
    </row>
    <row r="68" spans="1:15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21">
        <f>COUNTIF(Tabela1[[#This Row],[EA Play Season Pass]],"Yes")</f>
        <v>1</v>
      </c>
      <c r="O68" s="21">
        <f>COUNTIF(Tabela1[[#This Row],[Minecraft Season Pass]],"Yes")</f>
        <v>1</v>
      </c>
    </row>
    <row r="69" spans="1:15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  <c r="N69" s="21">
        <f>COUNTIF(Tabela1[[#This Row],[EA Play Season Pass]],"Yes")</f>
        <v>0</v>
      </c>
      <c r="O69" s="21">
        <f>COUNTIF(Tabela1[[#This Row],[Minecraft Season Pass]],"Yes")</f>
        <v>1</v>
      </c>
    </row>
    <row r="70" spans="1:15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  <c r="N70" s="21">
        <f>COUNTIF(Tabela1[[#This Row],[EA Play Season Pass]],"Yes")</f>
        <v>0</v>
      </c>
      <c r="O70" s="21">
        <f>COUNTIF(Tabela1[[#This Row],[Minecraft Season Pass]],"Yes")</f>
        <v>0</v>
      </c>
    </row>
    <row r="71" spans="1:15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21">
        <f>COUNTIF(Tabela1[[#This Row],[EA Play Season Pass]],"Yes")</f>
        <v>1</v>
      </c>
      <c r="O71" s="21">
        <f>COUNTIF(Tabela1[[#This Row],[Minecraft Season Pass]],"Yes")</f>
        <v>1</v>
      </c>
    </row>
    <row r="72" spans="1:15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  <c r="N72" s="21">
        <f>COUNTIF(Tabela1[[#This Row],[EA Play Season Pass]],"Yes")</f>
        <v>0</v>
      </c>
      <c r="O72" s="21">
        <f>COUNTIF(Tabela1[[#This Row],[Minecraft Season Pass]],"Yes")</f>
        <v>1</v>
      </c>
    </row>
    <row r="73" spans="1:15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  <c r="N73" s="21">
        <f>COUNTIF(Tabela1[[#This Row],[EA Play Season Pass]],"Yes")</f>
        <v>0</v>
      </c>
      <c r="O73" s="21">
        <f>COUNTIF(Tabela1[[#This Row],[Minecraft Season Pass]],"Yes")</f>
        <v>0</v>
      </c>
    </row>
    <row r="74" spans="1:15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21">
        <f>COUNTIF(Tabela1[[#This Row],[EA Play Season Pass]],"Yes")</f>
        <v>1</v>
      </c>
      <c r="O74" s="21">
        <f>COUNTIF(Tabela1[[#This Row],[Minecraft Season Pass]],"Yes")</f>
        <v>1</v>
      </c>
    </row>
    <row r="75" spans="1:15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  <c r="N75" s="21">
        <f>COUNTIF(Tabela1[[#This Row],[EA Play Season Pass]],"Yes")</f>
        <v>0</v>
      </c>
      <c r="O75" s="21">
        <f>COUNTIF(Tabela1[[#This Row],[Minecraft Season Pass]],"Yes")</f>
        <v>1</v>
      </c>
    </row>
    <row r="76" spans="1:15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  <c r="N76" s="21">
        <f>COUNTIF(Tabela1[[#This Row],[EA Play Season Pass]],"Yes")</f>
        <v>0</v>
      </c>
      <c r="O76" s="21">
        <f>COUNTIF(Tabela1[[#This Row],[Minecraft Season Pass]],"Yes")</f>
        <v>0</v>
      </c>
    </row>
    <row r="77" spans="1:15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21">
        <f>COUNTIF(Tabela1[[#This Row],[EA Play Season Pass]],"Yes")</f>
        <v>1</v>
      </c>
      <c r="O77" s="21">
        <f>COUNTIF(Tabela1[[#This Row],[Minecraft Season Pass]],"Yes")</f>
        <v>1</v>
      </c>
    </row>
    <row r="78" spans="1:15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  <c r="N78" s="21">
        <f>COUNTIF(Tabela1[[#This Row],[EA Play Season Pass]],"Yes")</f>
        <v>0</v>
      </c>
      <c r="O78" s="21">
        <f>COUNTIF(Tabela1[[#This Row],[Minecraft Season Pass]],"Yes")</f>
        <v>1</v>
      </c>
    </row>
    <row r="79" spans="1:15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  <c r="N79" s="21">
        <f>COUNTIF(Tabela1[[#This Row],[EA Play Season Pass]],"Yes")</f>
        <v>0</v>
      </c>
      <c r="O79" s="21">
        <f>COUNTIF(Tabela1[[#This Row],[Minecraft Season Pass]],"Yes")</f>
        <v>0</v>
      </c>
    </row>
    <row r="80" spans="1:15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21">
        <f>COUNTIF(Tabela1[[#This Row],[EA Play Season Pass]],"Yes")</f>
        <v>1</v>
      </c>
      <c r="O80" s="21">
        <f>COUNTIF(Tabela1[[#This Row],[Minecraft Season Pass]],"Yes")</f>
        <v>1</v>
      </c>
    </row>
    <row r="81" spans="1:15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  <c r="N81" s="21">
        <f>COUNTIF(Tabela1[[#This Row],[EA Play Season Pass]],"Yes")</f>
        <v>0</v>
      </c>
      <c r="O81" s="21">
        <f>COUNTIF(Tabela1[[#This Row],[Minecraft Season Pass]],"Yes")</f>
        <v>1</v>
      </c>
    </row>
    <row r="82" spans="1:15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  <c r="N82" s="21">
        <f>COUNTIF(Tabela1[[#This Row],[EA Play Season Pass]],"Yes")</f>
        <v>0</v>
      </c>
      <c r="O82" s="21">
        <f>COUNTIF(Tabela1[[#This Row],[Minecraft Season Pass]],"Yes")</f>
        <v>0</v>
      </c>
    </row>
    <row r="83" spans="1:15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21">
        <f>COUNTIF(Tabela1[[#This Row],[EA Play Season Pass]],"Yes")</f>
        <v>1</v>
      </c>
      <c r="O83" s="21">
        <f>COUNTIF(Tabela1[[#This Row],[Minecraft Season Pass]],"Yes")</f>
        <v>1</v>
      </c>
    </row>
    <row r="84" spans="1:15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  <c r="N84" s="21">
        <f>COUNTIF(Tabela1[[#This Row],[EA Play Season Pass]],"Yes")</f>
        <v>0</v>
      </c>
      <c r="O84" s="21">
        <f>COUNTIF(Tabela1[[#This Row],[Minecraft Season Pass]],"Yes")</f>
        <v>1</v>
      </c>
    </row>
    <row r="85" spans="1:15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  <c r="N85" s="21">
        <f>COUNTIF(Tabela1[[#This Row],[EA Play Season Pass]],"Yes")</f>
        <v>0</v>
      </c>
      <c r="O85" s="21">
        <f>COUNTIF(Tabela1[[#This Row],[Minecraft Season Pass]],"Yes")</f>
        <v>0</v>
      </c>
    </row>
    <row r="86" spans="1:15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21">
        <f>COUNTIF(Tabela1[[#This Row],[EA Play Season Pass]],"Yes")</f>
        <v>1</v>
      </c>
      <c r="O86" s="21">
        <f>COUNTIF(Tabela1[[#This Row],[Minecraft Season Pass]],"Yes")</f>
        <v>1</v>
      </c>
    </row>
    <row r="87" spans="1:15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  <c r="N87" s="21">
        <f>COUNTIF(Tabela1[[#This Row],[EA Play Season Pass]],"Yes")</f>
        <v>0</v>
      </c>
      <c r="O87" s="21">
        <f>COUNTIF(Tabela1[[#This Row],[Minecraft Season Pass]],"Yes")</f>
        <v>1</v>
      </c>
    </row>
    <row r="88" spans="1:15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  <c r="N88" s="21">
        <f>COUNTIF(Tabela1[[#This Row],[EA Play Season Pass]],"Yes")</f>
        <v>0</v>
      </c>
      <c r="O88" s="21">
        <f>COUNTIF(Tabela1[[#This Row],[Minecraft Season Pass]],"Yes")</f>
        <v>0</v>
      </c>
    </row>
    <row r="89" spans="1:15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21">
        <f>COUNTIF(Tabela1[[#This Row],[EA Play Season Pass]],"Yes")</f>
        <v>1</v>
      </c>
      <c r="O89" s="21">
        <f>COUNTIF(Tabela1[[#This Row],[Minecraft Season Pass]],"Yes")</f>
        <v>1</v>
      </c>
    </row>
    <row r="90" spans="1:15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  <c r="N90" s="21">
        <f>COUNTIF(Tabela1[[#This Row],[EA Play Season Pass]],"Yes")</f>
        <v>0</v>
      </c>
      <c r="O90" s="21">
        <f>COUNTIF(Tabela1[[#This Row],[Minecraft Season Pass]],"Yes")</f>
        <v>1</v>
      </c>
    </row>
    <row r="91" spans="1:15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  <c r="N91" s="21">
        <f>COUNTIF(Tabela1[[#This Row],[EA Play Season Pass]],"Yes")</f>
        <v>0</v>
      </c>
      <c r="O91" s="21">
        <f>COUNTIF(Tabela1[[#This Row],[Minecraft Season Pass]],"Yes")</f>
        <v>0</v>
      </c>
    </row>
    <row r="92" spans="1:15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21">
        <f>COUNTIF(Tabela1[[#This Row],[EA Play Season Pass]],"Yes")</f>
        <v>1</v>
      </c>
      <c r="O92" s="21">
        <f>COUNTIF(Tabela1[[#This Row],[Minecraft Season Pass]],"Yes")</f>
        <v>1</v>
      </c>
    </row>
    <row r="93" spans="1:15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  <c r="N93" s="21">
        <f>COUNTIF(Tabela1[[#This Row],[EA Play Season Pass]],"Yes")</f>
        <v>0</v>
      </c>
      <c r="O93" s="21">
        <f>COUNTIF(Tabela1[[#This Row],[Minecraft Season Pass]],"Yes")</f>
        <v>1</v>
      </c>
    </row>
    <row r="94" spans="1:15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  <c r="N94" s="21">
        <f>COUNTIF(Tabela1[[#This Row],[EA Play Season Pass]],"Yes")</f>
        <v>0</v>
      </c>
      <c r="O94" s="21">
        <f>COUNTIF(Tabela1[[#This Row],[Minecraft Season Pass]],"Yes")</f>
        <v>0</v>
      </c>
    </row>
    <row r="95" spans="1:15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21">
        <f>COUNTIF(Tabela1[[#This Row],[EA Play Season Pass]],"Yes")</f>
        <v>1</v>
      </c>
      <c r="O95" s="21">
        <f>COUNTIF(Tabela1[[#This Row],[Minecraft Season Pass]],"Yes")</f>
        <v>1</v>
      </c>
    </row>
    <row r="96" spans="1:15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  <c r="N96" s="21">
        <f>COUNTIF(Tabela1[[#This Row],[EA Play Season Pass]],"Yes")</f>
        <v>0</v>
      </c>
      <c r="O96" s="21">
        <f>COUNTIF(Tabela1[[#This Row],[Minecraft Season Pass]],"Yes")</f>
        <v>1</v>
      </c>
    </row>
    <row r="97" spans="1:15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  <c r="N97" s="21">
        <f>COUNTIF(Tabela1[[#This Row],[EA Play Season Pass]],"Yes")</f>
        <v>0</v>
      </c>
      <c r="O97" s="21">
        <f>COUNTIF(Tabela1[[#This Row],[Minecraft Season Pass]],"Yes")</f>
        <v>0</v>
      </c>
    </row>
    <row r="98" spans="1:15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21">
        <f>COUNTIF(Tabela1[[#This Row],[EA Play Season Pass]],"Yes")</f>
        <v>1</v>
      </c>
      <c r="O98" s="21">
        <f>COUNTIF(Tabela1[[#This Row],[Minecraft Season Pass]],"Yes")</f>
        <v>1</v>
      </c>
    </row>
    <row r="99" spans="1:15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  <c r="N99" s="21">
        <f>COUNTIF(Tabela1[[#This Row],[EA Play Season Pass]],"Yes")</f>
        <v>0</v>
      </c>
      <c r="O99" s="21">
        <f>COUNTIF(Tabela1[[#This Row],[Minecraft Season Pass]],"Yes")</f>
        <v>1</v>
      </c>
    </row>
    <row r="100" spans="1:15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  <c r="N100" s="21">
        <f>COUNTIF(Tabela1[[#This Row],[EA Play Season Pass]],"Yes")</f>
        <v>0</v>
      </c>
      <c r="O100" s="21">
        <f>COUNTIF(Tabela1[[#This Row],[Minecraft Season Pass]],"Yes")</f>
        <v>0</v>
      </c>
    </row>
    <row r="101" spans="1:15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21">
        <f>COUNTIF(Tabela1[[#This Row],[EA Play Season Pass]],"Yes")</f>
        <v>1</v>
      </c>
      <c r="O101" s="21">
        <f>COUNTIF(Tabela1[[#This Row],[Minecraft Season Pass]],"Yes")</f>
        <v>1</v>
      </c>
    </row>
    <row r="102" spans="1:15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  <c r="N102" s="21">
        <f>COUNTIF(Tabela1[[#This Row],[EA Play Season Pass]],"Yes")</f>
        <v>0</v>
      </c>
      <c r="O102" s="21">
        <f>COUNTIF(Tabela1[[#This Row],[Minecraft Season Pass]],"Yes")</f>
        <v>1</v>
      </c>
    </row>
    <row r="103" spans="1:15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  <c r="N103" s="21">
        <f>COUNTIF(Tabela1[[#This Row],[EA Play Season Pass]],"Yes")</f>
        <v>0</v>
      </c>
      <c r="O103" s="21">
        <f>COUNTIF(Tabela1[[#This Row],[Minecraft Season Pass]],"Yes")</f>
        <v>0</v>
      </c>
    </row>
    <row r="104" spans="1:15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21">
        <f>COUNTIF(Tabela1[[#This Row],[EA Play Season Pass]],"Yes")</f>
        <v>1</v>
      </c>
      <c r="O104" s="21">
        <f>COUNTIF(Tabela1[[#This Row],[Minecraft Season Pass]],"Yes")</f>
        <v>1</v>
      </c>
    </row>
    <row r="105" spans="1:15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  <c r="N105" s="21">
        <f>COUNTIF(Tabela1[[#This Row],[EA Play Season Pass]],"Yes")</f>
        <v>0</v>
      </c>
      <c r="O105" s="21">
        <f>COUNTIF(Tabela1[[#This Row],[Minecraft Season Pass]],"Yes")</f>
        <v>1</v>
      </c>
    </row>
    <row r="106" spans="1:15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  <c r="N106" s="21">
        <f>COUNTIF(Tabela1[[#This Row],[EA Play Season Pass]],"Yes")</f>
        <v>0</v>
      </c>
      <c r="O106" s="21">
        <f>COUNTIF(Tabela1[[#This Row],[Minecraft Season Pass]],"Yes")</f>
        <v>0</v>
      </c>
    </row>
    <row r="107" spans="1:15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  <c r="N107" s="21">
        <f>COUNTIF(Tabela1[[#This Row],[EA Play Season Pass]],"Yes")</f>
        <v>0</v>
      </c>
      <c r="O107" s="21">
        <f>COUNTIF(Tabela1[[#This Row],[Minecraft Season Pass]],"Yes")</f>
        <v>0</v>
      </c>
    </row>
    <row r="108" spans="1:15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21">
        <f>COUNTIF(Tabela1[[#This Row],[EA Play Season Pass]],"Yes")</f>
        <v>1</v>
      </c>
      <c r="O108" s="21">
        <f>COUNTIF(Tabela1[[#This Row],[Minecraft Season Pass]],"Yes")</f>
        <v>1</v>
      </c>
    </row>
    <row r="109" spans="1:15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  <c r="N109" s="21">
        <f>COUNTIF(Tabela1[[#This Row],[EA Play Season Pass]],"Yes")</f>
        <v>0</v>
      </c>
      <c r="O109" s="21">
        <f>COUNTIF(Tabela1[[#This Row],[Minecraft Season Pass]],"Yes")</f>
        <v>1</v>
      </c>
    </row>
    <row r="110" spans="1:15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  <c r="N110" s="21">
        <f>COUNTIF(Tabela1[[#This Row],[EA Play Season Pass]],"Yes")</f>
        <v>0</v>
      </c>
      <c r="O110" s="21">
        <f>COUNTIF(Tabela1[[#This Row],[Minecraft Season Pass]],"Yes")</f>
        <v>0</v>
      </c>
    </row>
    <row r="111" spans="1:15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21">
        <f>COUNTIF(Tabela1[[#This Row],[EA Play Season Pass]],"Yes")</f>
        <v>1</v>
      </c>
      <c r="O111" s="21">
        <f>COUNTIF(Tabela1[[#This Row],[Minecraft Season Pass]],"Yes")</f>
        <v>1</v>
      </c>
    </row>
    <row r="112" spans="1:15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  <c r="N112" s="21">
        <f>COUNTIF(Tabela1[[#This Row],[EA Play Season Pass]],"Yes")</f>
        <v>0</v>
      </c>
      <c r="O112" s="21">
        <f>COUNTIF(Tabela1[[#This Row],[Minecraft Season Pass]],"Yes")</f>
        <v>1</v>
      </c>
    </row>
    <row r="113" spans="1:15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  <c r="N113" s="21">
        <f>COUNTIF(Tabela1[[#This Row],[EA Play Season Pass]],"Yes")</f>
        <v>0</v>
      </c>
      <c r="O113" s="21">
        <f>COUNTIF(Tabela1[[#This Row],[Minecraft Season Pass]],"Yes")</f>
        <v>0</v>
      </c>
    </row>
    <row r="114" spans="1:15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21">
        <f>COUNTIF(Tabela1[[#This Row],[EA Play Season Pass]],"Yes")</f>
        <v>1</v>
      </c>
      <c r="O114" s="21">
        <f>COUNTIF(Tabela1[[#This Row],[Minecraft Season Pass]],"Yes")</f>
        <v>1</v>
      </c>
    </row>
    <row r="115" spans="1:15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  <c r="N115" s="21">
        <f>COUNTIF(Tabela1[[#This Row],[EA Play Season Pass]],"Yes")</f>
        <v>0</v>
      </c>
      <c r="O115" s="21">
        <f>COUNTIF(Tabela1[[#This Row],[Minecraft Season Pass]],"Yes")</f>
        <v>1</v>
      </c>
    </row>
    <row r="116" spans="1:15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  <c r="N116" s="21">
        <f>COUNTIF(Tabela1[[#This Row],[EA Play Season Pass]],"Yes")</f>
        <v>0</v>
      </c>
      <c r="O116" s="21">
        <f>COUNTIF(Tabela1[[#This Row],[Minecraft Season Pass]],"Yes")</f>
        <v>0</v>
      </c>
    </row>
    <row r="117" spans="1:15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21">
        <f>COUNTIF(Tabela1[[#This Row],[EA Play Season Pass]],"Yes")</f>
        <v>1</v>
      </c>
      <c r="O117" s="21">
        <f>COUNTIF(Tabela1[[#This Row],[Minecraft Season Pass]],"Yes")</f>
        <v>1</v>
      </c>
    </row>
    <row r="118" spans="1:15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  <c r="N118" s="21">
        <f>COUNTIF(Tabela1[[#This Row],[EA Play Season Pass]],"Yes")</f>
        <v>0</v>
      </c>
      <c r="O118" s="21">
        <f>COUNTIF(Tabela1[[#This Row],[Minecraft Season Pass]],"Yes")</f>
        <v>1</v>
      </c>
    </row>
    <row r="119" spans="1:15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  <c r="N119" s="21">
        <f>COUNTIF(Tabela1[[#This Row],[EA Play Season Pass]],"Yes")</f>
        <v>0</v>
      </c>
      <c r="O119" s="21">
        <f>COUNTIF(Tabela1[[#This Row],[Minecraft Season Pass]],"Yes")</f>
        <v>0</v>
      </c>
    </row>
    <row r="120" spans="1:15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21">
        <f>COUNTIF(Tabela1[[#This Row],[EA Play Season Pass]],"Yes")</f>
        <v>1</v>
      </c>
      <c r="O120" s="21">
        <f>COUNTIF(Tabela1[[#This Row],[Minecraft Season Pass]],"Yes")</f>
        <v>1</v>
      </c>
    </row>
    <row r="121" spans="1:15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  <c r="N121" s="21">
        <f>COUNTIF(Tabela1[[#This Row],[EA Play Season Pass]],"Yes")</f>
        <v>0</v>
      </c>
      <c r="O121" s="21">
        <f>COUNTIF(Tabela1[[#This Row],[Minecraft Season Pass]],"Yes")</f>
        <v>1</v>
      </c>
    </row>
    <row r="122" spans="1:15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  <c r="N122" s="21">
        <f>COUNTIF(Tabela1[[#This Row],[EA Play Season Pass]],"Yes")</f>
        <v>0</v>
      </c>
      <c r="O122" s="21">
        <f>COUNTIF(Tabela1[[#This Row],[Minecraft Season Pass]],"Yes")</f>
        <v>0</v>
      </c>
    </row>
    <row r="123" spans="1:15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21">
        <f>COUNTIF(Tabela1[[#This Row],[EA Play Season Pass]],"Yes")</f>
        <v>1</v>
      </c>
      <c r="O123" s="21">
        <f>COUNTIF(Tabela1[[#This Row],[Minecraft Season Pass]],"Yes")</f>
        <v>1</v>
      </c>
    </row>
    <row r="124" spans="1:15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  <c r="N124" s="21">
        <f>COUNTIF(Tabela1[[#This Row],[EA Play Season Pass]],"Yes")</f>
        <v>0</v>
      </c>
      <c r="O124" s="21">
        <f>COUNTIF(Tabela1[[#This Row],[Minecraft Season Pass]],"Yes")</f>
        <v>1</v>
      </c>
    </row>
    <row r="125" spans="1:15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  <c r="N125" s="21">
        <f>COUNTIF(Tabela1[[#This Row],[EA Play Season Pass]],"Yes")</f>
        <v>0</v>
      </c>
      <c r="O125" s="21">
        <f>COUNTIF(Tabela1[[#This Row],[Minecraft Season Pass]],"Yes")</f>
        <v>0</v>
      </c>
    </row>
    <row r="126" spans="1:15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21">
        <f>COUNTIF(Tabela1[[#This Row],[EA Play Season Pass]],"Yes")</f>
        <v>1</v>
      </c>
      <c r="O126" s="21">
        <f>COUNTIF(Tabela1[[#This Row],[Minecraft Season Pass]],"Yes")</f>
        <v>1</v>
      </c>
    </row>
    <row r="127" spans="1:15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  <c r="N127" s="21">
        <f>COUNTIF(Tabela1[[#This Row],[EA Play Season Pass]],"Yes")</f>
        <v>0</v>
      </c>
      <c r="O127" s="21">
        <f>COUNTIF(Tabela1[[#This Row],[Minecraft Season Pass]],"Yes")</f>
        <v>1</v>
      </c>
    </row>
    <row r="128" spans="1:15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  <c r="N128" s="21">
        <f>COUNTIF(Tabela1[[#This Row],[EA Play Season Pass]],"Yes")</f>
        <v>0</v>
      </c>
      <c r="O128" s="21">
        <f>COUNTIF(Tabela1[[#This Row],[Minecraft Season Pass]],"Yes")</f>
        <v>0</v>
      </c>
    </row>
    <row r="129" spans="1:15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21">
        <f>COUNTIF(Tabela1[[#This Row],[EA Play Season Pass]],"Yes")</f>
        <v>1</v>
      </c>
      <c r="O129" s="21">
        <f>COUNTIF(Tabela1[[#This Row],[Minecraft Season Pass]],"Yes")</f>
        <v>1</v>
      </c>
    </row>
    <row r="130" spans="1:15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  <c r="N130" s="21">
        <f>COUNTIF(Tabela1[[#This Row],[EA Play Season Pass]],"Yes")</f>
        <v>0</v>
      </c>
      <c r="O130" s="21">
        <f>COUNTIF(Tabela1[[#This Row],[Minecraft Season Pass]],"Yes")</f>
        <v>1</v>
      </c>
    </row>
    <row r="131" spans="1:15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  <c r="N131" s="21">
        <f>COUNTIF(Tabela1[[#This Row],[EA Play Season Pass]],"Yes")</f>
        <v>0</v>
      </c>
      <c r="O131" s="21">
        <f>COUNTIF(Tabela1[[#This Row],[Minecraft Season Pass]],"Yes")</f>
        <v>0</v>
      </c>
    </row>
    <row r="132" spans="1:15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21">
        <f>COUNTIF(Tabela1[[#This Row],[EA Play Season Pass]],"Yes")</f>
        <v>1</v>
      </c>
      <c r="O132" s="21">
        <f>COUNTIF(Tabela1[[#This Row],[Minecraft Season Pass]],"Yes")</f>
        <v>1</v>
      </c>
    </row>
    <row r="133" spans="1:15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  <c r="N133" s="21">
        <f>COUNTIF(Tabela1[[#This Row],[EA Play Season Pass]],"Yes")</f>
        <v>0</v>
      </c>
      <c r="O133" s="21">
        <f>COUNTIF(Tabela1[[#This Row],[Minecraft Season Pass]],"Yes")</f>
        <v>1</v>
      </c>
    </row>
    <row r="134" spans="1:15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  <c r="N134" s="21">
        <f>COUNTIF(Tabela1[[#This Row],[EA Play Season Pass]],"Yes")</f>
        <v>0</v>
      </c>
      <c r="O134" s="21">
        <f>COUNTIF(Tabela1[[#This Row],[Minecraft Season Pass]],"Yes")</f>
        <v>0</v>
      </c>
    </row>
    <row r="135" spans="1:15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21">
        <f>COUNTIF(Tabela1[[#This Row],[EA Play Season Pass]],"Yes")</f>
        <v>1</v>
      </c>
      <c r="O135" s="21">
        <f>COUNTIF(Tabela1[[#This Row],[Minecraft Season Pass]],"Yes")</f>
        <v>1</v>
      </c>
    </row>
    <row r="136" spans="1:15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  <c r="N136" s="21">
        <f>COUNTIF(Tabela1[[#This Row],[EA Play Season Pass]],"Yes")</f>
        <v>0</v>
      </c>
      <c r="O136" s="21">
        <f>COUNTIF(Tabela1[[#This Row],[Minecraft Season Pass]],"Yes")</f>
        <v>1</v>
      </c>
    </row>
    <row r="137" spans="1:15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  <c r="N137" s="21">
        <f>COUNTIF(Tabela1[[#This Row],[EA Play Season Pass]],"Yes")</f>
        <v>0</v>
      </c>
      <c r="O137" s="21">
        <f>COUNTIF(Tabela1[[#This Row],[Minecraft Season Pass]],"Yes")</f>
        <v>0</v>
      </c>
    </row>
    <row r="138" spans="1:15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21">
        <f>COUNTIF(Tabela1[[#This Row],[EA Play Season Pass]],"Yes")</f>
        <v>1</v>
      </c>
      <c r="O138" s="21">
        <f>COUNTIF(Tabela1[[#This Row],[Minecraft Season Pass]],"Yes")</f>
        <v>1</v>
      </c>
    </row>
    <row r="139" spans="1:15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  <c r="N139" s="21">
        <f>COUNTIF(Tabela1[[#This Row],[EA Play Season Pass]],"Yes")</f>
        <v>0</v>
      </c>
      <c r="O139" s="21">
        <f>COUNTIF(Tabela1[[#This Row],[Minecraft Season Pass]],"Yes")</f>
        <v>1</v>
      </c>
    </row>
    <row r="140" spans="1:15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  <c r="N140" s="21">
        <f>COUNTIF(Tabela1[[#This Row],[EA Play Season Pass]],"Yes")</f>
        <v>0</v>
      </c>
      <c r="O140" s="21">
        <f>COUNTIF(Tabela1[[#This Row],[Minecraft Season Pass]],"Yes")</f>
        <v>0</v>
      </c>
    </row>
    <row r="141" spans="1:15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21">
        <f>COUNTIF(Tabela1[[#This Row],[EA Play Season Pass]],"Yes")</f>
        <v>1</v>
      </c>
      <c r="O141" s="21">
        <f>COUNTIF(Tabela1[[#This Row],[Minecraft Season Pass]],"Yes")</f>
        <v>1</v>
      </c>
    </row>
    <row r="142" spans="1:15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  <c r="N142" s="21">
        <f>COUNTIF(Tabela1[[#This Row],[EA Play Season Pass]],"Yes")</f>
        <v>0</v>
      </c>
      <c r="O142" s="21">
        <f>COUNTIF(Tabela1[[#This Row],[Minecraft Season Pass]],"Yes")</f>
        <v>1</v>
      </c>
    </row>
    <row r="143" spans="1:15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  <c r="N143" s="21">
        <f>COUNTIF(Tabela1[[#This Row],[EA Play Season Pass]],"Yes")</f>
        <v>0</v>
      </c>
      <c r="O143" s="21">
        <f>COUNTIF(Tabela1[[#This Row],[Minecraft Season Pass]],"Yes")</f>
        <v>0</v>
      </c>
    </row>
    <row r="144" spans="1:15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21">
        <f>COUNTIF(Tabela1[[#This Row],[EA Play Season Pass]],"Yes")</f>
        <v>1</v>
      </c>
      <c r="O144" s="21">
        <f>COUNTIF(Tabela1[[#This Row],[Minecraft Season Pass]],"Yes")</f>
        <v>1</v>
      </c>
    </row>
    <row r="145" spans="1:15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  <c r="N145" s="21">
        <f>COUNTIF(Tabela1[[#This Row],[EA Play Season Pass]],"Yes")</f>
        <v>0</v>
      </c>
      <c r="O145" s="21">
        <f>COUNTIF(Tabela1[[#This Row],[Minecraft Season Pass]],"Yes")</f>
        <v>1</v>
      </c>
    </row>
    <row r="146" spans="1:15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  <c r="N146" s="21">
        <f>COUNTIF(Tabela1[[#This Row],[EA Play Season Pass]],"Yes")</f>
        <v>0</v>
      </c>
      <c r="O146" s="21">
        <f>COUNTIF(Tabela1[[#This Row],[Minecraft Season Pass]],"Yes")</f>
        <v>0</v>
      </c>
    </row>
    <row r="147" spans="1:15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21">
        <f>COUNTIF(Tabela1[[#This Row],[EA Play Season Pass]],"Yes")</f>
        <v>1</v>
      </c>
      <c r="O147" s="21">
        <f>COUNTIF(Tabela1[[#This Row],[Minecraft Season Pass]],"Yes")</f>
        <v>1</v>
      </c>
    </row>
    <row r="148" spans="1:15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  <c r="N148" s="21">
        <f>COUNTIF(Tabela1[[#This Row],[EA Play Season Pass]],"Yes")</f>
        <v>0</v>
      </c>
      <c r="O148" s="21">
        <f>COUNTIF(Tabela1[[#This Row],[Minecraft Season Pass]],"Yes")</f>
        <v>1</v>
      </c>
    </row>
    <row r="149" spans="1:15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  <c r="N149" s="21">
        <f>COUNTIF(Tabela1[[#This Row],[EA Play Season Pass]],"Yes")</f>
        <v>0</v>
      </c>
      <c r="O149" s="21">
        <f>COUNTIF(Tabela1[[#This Row],[Minecraft Season Pass]],"Yes")</f>
        <v>0</v>
      </c>
    </row>
    <row r="150" spans="1:15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21">
        <f>COUNTIF(Tabela1[[#This Row],[EA Play Season Pass]],"Yes")</f>
        <v>1</v>
      </c>
      <c r="O150" s="21">
        <f>COUNTIF(Tabela1[[#This Row],[Minecraft Season Pass]],"Yes")</f>
        <v>1</v>
      </c>
    </row>
    <row r="151" spans="1:15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  <c r="N151" s="21">
        <f>COUNTIF(Tabela1[[#This Row],[EA Play Season Pass]],"Yes")</f>
        <v>0</v>
      </c>
      <c r="O151" s="21">
        <f>COUNTIF(Tabela1[[#This Row],[Minecraft Season Pass]],"Yes")</f>
        <v>1</v>
      </c>
    </row>
    <row r="152" spans="1:15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  <c r="N152" s="21">
        <f>COUNTIF(Tabela1[[#This Row],[EA Play Season Pass]],"Yes")</f>
        <v>0</v>
      </c>
      <c r="O152" s="21">
        <f>COUNTIF(Tabela1[[#This Row],[Minecraft Season Pass]],"Yes")</f>
        <v>0</v>
      </c>
    </row>
    <row r="153" spans="1:15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21">
        <f>COUNTIF(Tabela1[[#This Row],[EA Play Season Pass]],"Yes")</f>
        <v>1</v>
      </c>
      <c r="O153" s="21">
        <f>COUNTIF(Tabela1[[#This Row],[Minecraft Season Pass]],"Yes")</f>
        <v>1</v>
      </c>
    </row>
    <row r="154" spans="1:15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  <c r="N154" s="21">
        <f>COUNTIF(Tabela1[[#This Row],[EA Play Season Pass]],"Yes")</f>
        <v>0</v>
      </c>
      <c r="O154" s="21">
        <f>COUNTIF(Tabela1[[#This Row],[Minecraft Season Pass]],"Yes")</f>
        <v>1</v>
      </c>
    </row>
    <row r="155" spans="1:15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  <c r="N155" s="21">
        <f>COUNTIF(Tabela1[[#This Row],[EA Play Season Pass]],"Yes")</f>
        <v>0</v>
      </c>
      <c r="O155" s="21">
        <f>COUNTIF(Tabela1[[#This Row],[Minecraft Season Pass]],"Yes")</f>
        <v>0</v>
      </c>
    </row>
    <row r="156" spans="1:15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21">
        <f>COUNTIF(Tabela1[[#This Row],[EA Play Season Pass]],"Yes")</f>
        <v>1</v>
      </c>
      <c r="O156" s="21">
        <f>COUNTIF(Tabela1[[#This Row],[Minecraft Season Pass]],"Yes")</f>
        <v>1</v>
      </c>
    </row>
    <row r="157" spans="1:15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  <c r="N157" s="21">
        <f>COUNTIF(Tabela1[[#This Row],[EA Play Season Pass]],"Yes")</f>
        <v>0</v>
      </c>
      <c r="O157" s="21">
        <f>COUNTIF(Tabela1[[#This Row],[Minecraft Season Pass]],"Yes")</f>
        <v>1</v>
      </c>
    </row>
    <row r="158" spans="1:15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  <c r="N158" s="21">
        <f>COUNTIF(Tabela1[[#This Row],[EA Play Season Pass]],"Yes")</f>
        <v>0</v>
      </c>
      <c r="O158" s="21">
        <f>COUNTIF(Tabela1[[#This Row],[Minecraft Season Pass]],"Yes")</f>
        <v>0</v>
      </c>
    </row>
    <row r="159" spans="1:15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21">
        <f>COUNTIF(Tabela1[[#This Row],[EA Play Season Pass]],"Yes")</f>
        <v>1</v>
      </c>
      <c r="O159" s="21">
        <f>COUNTIF(Tabela1[[#This Row],[Minecraft Season Pass]],"Yes")</f>
        <v>1</v>
      </c>
    </row>
    <row r="160" spans="1:15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  <c r="N160" s="21">
        <f>COUNTIF(Tabela1[[#This Row],[EA Play Season Pass]],"Yes")</f>
        <v>0</v>
      </c>
      <c r="O160" s="21">
        <f>COUNTIF(Tabela1[[#This Row],[Minecraft Season Pass]],"Yes")</f>
        <v>1</v>
      </c>
    </row>
    <row r="161" spans="1:15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  <c r="N161" s="21">
        <f>COUNTIF(Tabela1[[#This Row],[EA Play Season Pass]],"Yes")</f>
        <v>0</v>
      </c>
      <c r="O161" s="21">
        <f>COUNTIF(Tabela1[[#This Row],[Minecraft Season Pass]],"Yes")</f>
        <v>0</v>
      </c>
    </row>
    <row r="162" spans="1:15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21">
        <f>COUNTIF(Tabela1[[#This Row],[EA Play Season Pass]],"Yes")</f>
        <v>1</v>
      </c>
      <c r="O162" s="21">
        <f>COUNTIF(Tabela1[[#This Row],[Minecraft Season Pass]],"Yes")</f>
        <v>1</v>
      </c>
    </row>
    <row r="163" spans="1:15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  <c r="N163" s="21">
        <f>COUNTIF(Tabela1[[#This Row],[EA Play Season Pass]],"Yes")</f>
        <v>0</v>
      </c>
      <c r="O163" s="21">
        <f>COUNTIF(Tabela1[[#This Row],[Minecraft Season Pass]],"Yes")</f>
        <v>1</v>
      </c>
    </row>
    <row r="164" spans="1:15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  <c r="N164" s="21">
        <f>COUNTIF(Tabela1[[#This Row],[EA Play Season Pass]],"Yes")</f>
        <v>0</v>
      </c>
      <c r="O164" s="21">
        <f>COUNTIF(Tabela1[[#This Row],[Minecraft Season Pass]],"Yes")</f>
        <v>0</v>
      </c>
    </row>
    <row r="165" spans="1:15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21">
        <f>COUNTIF(Tabela1[[#This Row],[EA Play Season Pass]],"Yes")</f>
        <v>1</v>
      </c>
      <c r="O165" s="21">
        <f>COUNTIF(Tabela1[[#This Row],[Minecraft Season Pass]],"Yes")</f>
        <v>1</v>
      </c>
    </row>
    <row r="166" spans="1:15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  <c r="N166" s="21">
        <f>COUNTIF(Tabela1[[#This Row],[EA Play Season Pass]],"Yes")</f>
        <v>0</v>
      </c>
      <c r="O166" s="21">
        <f>COUNTIF(Tabela1[[#This Row],[Minecraft Season Pass]],"Yes")</f>
        <v>1</v>
      </c>
    </row>
    <row r="167" spans="1:15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  <c r="N167" s="21">
        <f>COUNTIF(Tabela1[[#This Row],[EA Play Season Pass]],"Yes")</f>
        <v>0</v>
      </c>
      <c r="O167" s="21">
        <f>COUNTIF(Tabela1[[#This Row],[Minecraft Season Pass]],"Yes")</f>
        <v>0</v>
      </c>
    </row>
    <row r="168" spans="1:15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21">
        <f>COUNTIF(Tabela1[[#This Row],[EA Play Season Pass]],"Yes")</f>
        <v>1</v>
      </c>
      <c r="O168" s="21">
        <f>COUNTIF(Tabela1[[#This Row],[Minecraft Season Pass]],"Yes")</f>
        <v>1</v>
      </c>
    </row>
    <row r="169" spans="1:15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  <c r="N169" s="21">
        <f>COUNTIF(Tabela1[[#This Row],[EA Play Season Pass]],"Yes")</f>
        <v>0</v>
      </c>
      <c r="O169" s="21">
        <f>COUNTIF(Tabela1[[#This Row],[Minecraft Season Pass]],"Yes")</f>
        <v>1</v>
      </c>
    </row>
    <row r="170" spans="1:15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  <c r="N170" s="21">
        <f>COUNTIF(Tabela1[[#This Row],[EA Play Season Pass]],"Yes")</f>
        <v>0</v>
      </c>
      <c r="O170" s="21">
        <f>COUNTIF(Tabela1[[#This Row],[Minecraft Season Pass]],"Yes")</f>
        <v>0</v>
      </c>
    </row>
    <row r="171" spans="1:15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21">
        <f>COUNTIF(Tabela1[[#This Row],[EA Play Season Pass]],"Yes")</f>
        <v>1</v>
      </c>
      <c r="O171" s="21">
        <f>COUNTIF(Tabela1[[#This Row],[Minecraft Season Pass]],"Yes")</f>
        <v>1</v>
      </c>
    </row>
    <row r="172" spans="1:15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  <c r="N172" s="21">
        <f>COUNTIF(Tabela1[[#This Row],[EA Play Season Pass]],"Yes")</f>
        <v>0</v>
      </c>
      <c r="O172" s="21">
        <f>COUNTIF(Tabela1[[#This Row],[Minecraft Season Pass]],"Yes")</f>
        <v>1</v>
      </c>
    </row>
    <row r="173" spans="1:15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  <c r="N173" s="21">
        <f>COUNTIF(Tabela1[[#This Row],[EA Play Season Pass]],"Yes")</f>
        <v>0</v>
      </c>
      <c r="O173" s="21">
        <f>COUNTIF(Tabela1[[#This Row],[Minecraft Season Pass]],"Yes")</f>
        <v>0</v>
      </c>
    </row>
    <row r="174" spans="1:15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21">
        <f>COUNTIF(Tabela1[[#This Row],[EA Play Season Pass]],"Yes")</f>
        <v>1</v>
      </c>
      <c r="O174" s="21">
        <f>COUNTIF(Tabela1[[#This Row],[Minecraft Season Pass]],"Yes")</f>
        <v>1</v>
      </c>
    </row>
    <row r="175" spans="1:15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  <c r="N175" s="21">
        <f>COUNTIF(Tabela1[[#This Row],[EA Play Season Pass]],"Yes")</f>
        <v>0</v>
      </c>
      <c r="O175" s="21">
        <f>COUNTIF(Tabela1[[#This Row],[Minecraft Season Pass]],"Yes")</f>
        <v>1</v>
      </c>
    </row>
    <row r="176" spans="1:15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  <c r="N176" s="21">
        <f>COUNTIF(Tabela1[[#This Row],[EA Play Season Pass]],"Yes")</f>
        <v>0</v>
      </c>
      <c r="O176" s="21">
        <f>COUNTIF(Tabela1[[#This Row],[Minecraft Season Pass]],"Yes")</f>
        <v>0</v>
      </c>
    </row>
    <row r="177" spans="1:15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  <c r="N177" s="21">
        <f>COUNTIF(Tabela1[[#This Row],[EA Play Season Pass]],"Yes")</f>
        <v>0</v>
      </c>
      <c r="O177" s="21">
        <f>COUNTIF(Tabela1[[#This Row],[Minecraft Season Pass]],"Yes")</f>
        <v>0</v>
      </c>
    </row>
    <row r="178" spans="1:15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21">
        <f>COUNTIF(Tabela1[[#This Row],[EA Play Season Pass]],"Yes")</f>
        <v>1</v>
      </c>
      <c r="O178" s="21">
        <f>COUNTIF(Tabela1[[#This Row],[Minecraft Season Pass]],"Yes")</f>
        <v>1</v>
      </c>
    </row>
    <row r="179" spans="1:15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  <c r="N179" s="21">
        <f>COUNTIF(Tabela1[[#This Row],[EA Play Season Pass]],"Yes")</f>
        <v>0</v>
      </c>
      <c r="O179" s="21">
        <f>COUNTIF(Tabela1[[#This Row],[Minecraft Season Pass]],"Yes")</f>
        <v>1</v>
      </c>
    </row>
    <row r="180" spans="1:15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  <c r="N180" s="21">
        <f>COUNTIF(Tabela1[[#This Row],[EA Play Season Pass]],"Yes")</f>
        <v>0</v>
      </c>
      <c r="O180" s="21">
        <f>COUNTIF(Tabela1[[#This Row],[Minecraft Season Pass]],"Yes")</f>
        <v>0</v>
      </c>
    </row>
    <row r="181" spans="1:15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21">
        <f>COUNTIF(Tabela1[[#This Row],[EA Play Season Pass]],"Yes")</f>
        <v>1</v>
      </c>
      <c r="O181" s="21">
        <f>COUNTIF(Tabela1[[#This Row],[Minecraft Season Pass]],"Yes")</f>
        <v>1</v>
      </c>
    </row>
    <row r="182" spans="1:15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  <c r="N182" s="21">
        <f>COUNTIF(Tabela1[[#This Row],[EA Play Season Pass]],"Yes")</f>
        <v>0</v>
      </c>
      <c r="O182" s="21">
        <f>COUNTIF(Tabela1[[#This Row],[Minecraft Season Pass]],"Yes")</f>
        <v>1</v>
      </c>
    </row>
    <row r="183" spans="1:15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  <c r="N183" s="21">
        <f>COUNTIF(Tabela1[[#This Row],[EA Play Season Pass]],"Yes")</f>
        <v>0</v>
      </c>
      <c r="O183" s="21">
        <f>COUNTIF(Tabela1[[#This Row],[Minecraft Season Pass]],"Yes")</f>
        <v>0</v>
      </c>
    </row>
    <row r="184" spans="1:15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21">
        <f>COUNTIF(Tabela1[[#This Row],[EA Play Season Pass]],"Yes")</f>
        <v>1</v>
      </c>
      <c r="O184" s="21">
        <f>COUNTIF(Tabela1[[#This Row],[Minecraft Season Pass]],"Yes")</f>
        <v>1</v>
      </c>
    </row>
    <row r="185" spans="1:15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  <c r="N185" s="21">
        <f>COUNTIF(Tabela1[[#This Row],[EA Play Season Pass]],"Yes")</f>
        <v>0</v>
      </c>
      <c r="O185" s="21">
        <f>COUNTIF(Tabela1[[#This Row],[Minecraft Season Pass]],"Yes")</f>
        <v>1</v>
      </c>
    </row>
    <row r="186" spans="1:15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  <c r="N186" s="21">
        <f>COUNTIF(Tabela1[[#This Row],[EA Play Season Pass]],"Yes")</f>
        <v>0</v>
      </c>
      <c r="O186" s="21">
        <f>COUNTIF(Tabela1[[#This Row],[Minecraft Season Pass]],"Yes")</f>
        <v>0</v>
      </c>
    </row>
    <row r="187" spans="1:15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21">
        <f>COUNTIF(Tabela1[[#This Row],[EA Play Season Pass]],"Yes")</f>
        <v>1</v>
      </c>
      <c r="O187" s="21">
        <f>COUNTIF(Tabela1[[#This Row],[Minecraft Season Pass]],"Yes")</f>
        <v>1</v>
      </c>
    </row>
    <row r="188" spans="1:15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  <c r="N188" s="21">
        <f>COUNTIF(Tabela1[[#This Row],[EA Play Season Pass]],"Yes")</f>
        <v>0</v>
      </c>
      <c r="O188" s="21">
        <f>COUNTIF(Tabela1[[#This Row],[Minecraft Season Pass]],"Yes")</f>
        <v>1</v>
      </c>
    </row>
    <row r="189" spans="1:15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  <c r="N189" s="21">
        <f>COUNTIF(Tabela1[[#This Row],[EA Play Season Pass]],"Yes")</f>
        <v>0</v>
      </c>
      <c r="O189" s="21">
        <f>COUNTIF(Tabela1[[#This Row],[Minecraft Season Pass]],"Yes")</f>
        <v>0</v>
      </c>
    </row>
    <row r="190" spans="1:15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21">
        <f>COUNTIF(Tabela1[[#This Row],[EA Play Season Pass]],"Yes")</f>
        <v>1</v>
      </c>
      <c r="O190" s="21">
        <f>COUNTIF(Tabela1[[#This Row],[Minecraft Season Pass]],"Yes")</f>
        <v>1</v>
      </c>
    </row>
    <row r="191" spans="1:15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  <c r="N191" s="21">
        <f>COUNTIF(Tabela1[[#This Row],[EA Play Season Pass]],"Yes")</f>
        <v>0</v>
      </c>
      <c r="O191" s="21">
        <f>COUNTIF(Tabela1[[#This Row],[Minecraft Season Pass]],"Yes")</f>
        <v>1</v>
      </c>
    </row>
    <row r="192" spans="1:15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  <c r="N192" s="21">
        <f>COUNTIF(Tabela1[[#This Row],[EA Play Season Pass]],"Yes")</f>
        <v>0</v>
      </c>
      <c r="O192" s="21">
        <f>COUNTIF(Tabela1[[#This Row],[Minecraft Season Pass]],"Yes")</f>
        <v>0</v>
      </c>
    </row>
    <row r="193" spans="1:15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21">
        <f>COUNTIF(Tabela1[[#This Row],[EA Play Season Pass]],"Yes")</f>
        <v>1</v>
      </c>
      <c r="O193" s="21">
        <f>COUNTIF(Tabela1[[#This Row],[Minecraft Season Pass]],"Yes")</f>
        <v>1</v>
      </c>
    </row>
    <row r="194" spans="1:15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  <c r="N194" s="21">
        <f>COUNTIF(Tabela1[[#This Row],[EA Play Season Pass]],"Yes")</f>
        <v>0</v>
      </c>
      <c r="O194" s="21">
        <f>COUNTIF(Tabela1[[#This Row],[Minecraft Season Pass]],"Yes")</f>
        <v>1</v>
      </c>
    </row>
    <row r="195" spans="1:15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  <c r="N195" s="21">
        <f>COUNTIF(Tabela1[[#This Row],[EA Play Season Pass]],"Yes")</f>
        <v>0</v>
      </c>
      <c r="O195" s="21">
        <f>COUNTIF(Tabela1[[#This Row],[Minecraft Season Pass]],"Yes")</f>
        <v>0</v>
      </c>
    </row>
    <row r="196" spans="1:15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21">
        <f>COUNTIF(Tabela1[[#This Row],[EA Play Season Pass]],"Yes")</f>
        <v>1</v>
      </c>
      <c r="O196" s="21">
        <f>COUNTIF(Tabela1[[#This Row],[Minecraft Season Pass]],"Yes")</f>
        <v>1</v>
      </c>
    </row>
    <row r="197" spans="1:15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  <c r="N197" s="21">
        <f>COUNTIF(Tabela1[[#This Row],[EA Play Season Pass]],"Yes")</f>
        <v>0</v>
      </c>
      <c r="O197" s="21">
        <f>COUNTIF(Tabela1[[#This Row],[Minecraft Season Pass]],"Yes")</f>
        <v>1</v>
      </c>
    </row>
    <row r="198" spans="1:15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  <c r="N198" s="21">
        <f>COUNTIF(Tabela1[[#This Row],[EA Play Season Pass]],"Yes")</f>
        <v>0</v>
      </c>
      <c r="O198" s="21">
        <f>COUNTIF(Tabela1[[#This Row],[Minecraft Season Pass]],"Yes")</f>
        <v>0</v>
      </c>
    </row>
    <row r="199" spans="1:15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21">
        <f>COUNTIF(Tabela1[[#This Row],[EA Play Season Pass]],"Yes")</f>
        <v>1</v>
      </c>
      <c r="O199" s="21">
        <f>COUNTIF(Tabela1[[#This Row],[Minecraft Season Pass]],"Yes")</f>
        <v>1</v>
      </c>
    </row>
    <row r="200" spans="1:15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  <c r="N200" s="21">
        <f>COUNTIF(Tabela1[[#This Row],[EA Play Season Pass]],"Yes")</f>
        <v>0</v>
      </c>
      <c r="O200" s="21">
        <f>COUNTIF(Tabela1[[#This Row],[Minecraft Season Pass]],"Yes")</f>
        <v>1</v>
      </c>
    </row>
    <row r="201" spans="1:15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  <c r="N201" s="21">
        <f>COUNTIF(Tabela1[[#This Row],[EA Play Season Pass]],"Yes")</f>
        <v>0</v>
      </c>
      <c r="O201" s="21">
        <f>COUNTIF(Tabela1[[#This Row],[Minecraft Season Pass]],"Yes")</f>
        <v>0</v>
      </c>
    </row>
    <row r="202" spans="1:15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21">
        <f>COUNTIF(Tabela1[[#This Row],[EA Play Season Pass]],"Yes")</f>
        <v>1</v>
      </c>
      <c r="O202" s="21">
        <f>COUNTIF(Tabela1[[#This Row],[Minecraft Season Pass]],"Yes")</f>
        <v>1</v>
      </c>
    </row>
    <row r="203" spans="1:15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  <c r="N203" s="21">
        <f>COUNTIF(Tabela1[[#This Row],[EA Play Season Pass]],"Yes")</f>
        <v>0</v>
      </c>
      <c r="O203" s="21">
        <f>COUNTIF(Tabela1[[#This Row],[Minecraft Season Pass]],"Yes")</f>
        <v>1</v>
      </c>
    </row>
    <row r="204" spans="1:15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  <c r="N204" s="21">
        <f>COUNTIF(Tabela1[[#This Row],[EA Play Season Pass]],"Yes")</f>
        <v>0</v>
      </c>
      <c r="O204" s="21">
        <f>COUNTIF(Tabela1[[#This Row],[Minecraft Season Pass]],"Yes")</f>
        <v>0</v>
      </c>
    </row>
    <row r="205" spans="1:15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21">
        <f>COUNTIF(Tabela1[[#This Row],[EA Play Season Pass]],"Yes")</f>
        <v>1</v>
      </c>
      <c r="O205" s="21">
        <f>COUNTIF(Tabela1[[#This Row],[Minecraft Season Pass]],"Yes")</f>
        <v>1</v>
      </c>
    </row>
    <row r="206" spans="1:15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  <c r="N206" s="21">
        <f>COUNTIF(Tabela1[[#This Row],[EA Play Season Pass]],"Yes")</f>
        <v>0</v>
      </c>
      <c r="O206" s="21">
        <f>COUNTIF(Tabela1[[#This Row],[Minecraft Season Pass]],"Yes")</f>
        <v>1</v>
      </c>
    </row>
    <row r="207" spans="1:15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  <c r="N207" s="21">
        <f>COUNTIF(Tabela1[[#This Row],[EA Play Season Pass]],"Yes")</f>
        <v>0</v>
      </c>
      <c r="O207" s="21">
        <f>COUNTIF(Tabela1[[#This Row],[Minecraft Season Pass]],"Yes")</f>
        <v>0</v>
      </c>
    </row>
    <row r="208" spans="1:15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21">
        <f>COUNTIF(Tabela1[[#This Row],[EA Play Season Pass]],"Yes")</f>
        <v>1</v>
      </c>
      <c r="O208" s="21">
        <f>COUNTIF(Tabela1[[#This Row],[Minecraft Season Pass]],"Yes")</f>
        <v>1</v>
      </c>
    </row>
    <row r="209" spans="1:15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  <c r="N209" s="21">
        <f>COUNTIF(Tabela1[[#This Row],[EA Play Season Pass]],"Yes")</f>
        <v>0</v>
      </c>
      <c r="O209" s="21">
        <f>COUNTIF(Tabela1[[#This Row],[Minecraft Season Pass]],"Yes")</f>
        <v>1</v>
      </c>
    </row>
    <row r="210" spans="1:15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  <c r="N210" s="21">
        <f>COUNTIF(Tabela1[[#This Row],[EA Play Season Pass]],"Yes")</f>
        <v>0</v>
      </c>
      <c r="O210" s="21">
        <f>COUNTIF(Tabela1[[#This Row],[Minecraft Season Pass]],"Yes")</f>
        <v>0</v>
      </c>
    </row>
    <row r="211" spans="1:15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21">
        <f>COUNTIF(Tabela1[[#This Row],[EA Play Season Pass]],"Yes")</f>
        <v>1</v>
      </c>
      <c r="O211" s="21">
        <f>COUNTIF(Tabela1[[#This Row],[Minecraft Season Pass]],"Yes")</f>
        <v>1</v>
      </c>
    </row>
    <row r="212" spans="1:15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  <c r="N212" s="21">
        <f>COUNTIF(Tabela1[[#This Row],[EA Play Season Pass]],"Yes")</f>
        <v>0</v>
      </c>
      <c r="O212" s="21">
        <f>COUNTIF(Tabela1[[#This Row],[Minecraft Season Pass]],"Yes")</f>
        <v>1</v>
      </c>
    </row>
    <row r="213" spans="1:15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  <c r="N213" s="21">
        <f>COUNTIF(Tabela1[[#This Row],[EA Play Season Pass]],"Yes")</f>
        <v>0</v>
      </c>
      <c r="O213" s="21">
        <f>COUNTIF(Tabela1[[#This Row],[Minecraft Season Pass]],"Yes")</f>
        <v>0</v>
      </c>
    </row>
    <row r="214" spans="1:15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21">
        <f>COUNTIF(Tabela1[[#This Row],[EA Play Season Pass]],"Yes")</f>
        <v>1</v>
      </c>
      <c r="O214" s="21">
        <f>COUNTIF(Tabela1[[#This Row],[Minecraft Season Pass]],"Yes")</f>
        <v>1</v>
      </c>
    </row>
    <row r="215" spans="1:15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  <c r="N215" s="21">
        <f>COUNTIF(Tabela1[[#This Row],[EA Play Season Pass]],"Yes")</f>
        <v>0</v>
      </c>
      <c r="O215" s="21">
        <f>COUNTIF(Tabela1[[#This Row],[Minecraft Season Pass]],"Yes")</f>
        <v>1</v>
      </c>
    </row>
    <row r="216" spans="1:15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  <c r="N216" s="21">
        <f>COUNTIF(Tabela1[[#This Row],[EA Play Season Pass]],"Yes")</f>
        <v>0</v>
      </c>
      <c r="O216" s="21">
        <f>COUNTIF(Tabela1[[#This Row],[Minecraft Season Pass]],"Yes")</f>
        <v>0</v>
      </c>
    </row>
    <row r="217" spans="1:15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21">
        <f>COUNTIF(Tabela1[[#This Row],[EA Play Season Pass]],"Yes")</f>
        <v>1</v>
      </c>
      <c r="O217" s="21">
        <f>COUNTIF(Tabela1[[#This Row],[Minecraft Season Pass]],"Yes")</f>
        <v>1</v>
      </c>
    </row>
    <row r="218" spans="1:15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  <c r="N218" s="21">
        <f>COUNTIF(Tabela1[[#This Row],[EA Play Season Pass]],"Yes")</f>
        <v>0</v>
      </c>
      <c r="O218" s="21">
        <f>COUNTIF(Tabela1[[#This Row],[Minecraft Season Pass]],"Yes")</f>
        <v>1</v>
      </c>
    </row>
    <row r="219" spans="1:15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  <c r="N219" s="21">
        <f>COUNTIF(Tabela1[[#This Row],[EA Play Season Pass]],"Yes")</f>
        <v>0</v>
      </c>
      <c r="O219" s="21">
        <f>COUNTIF(Tabela1[[#This Row],[Minecraft Season Pass]],"Yes")</f>
        <v>0</v>
      </c>
    </row>
    <row r="220" spans="1:15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21">
        <f>COUNTIF(Tabela1[[#This Row],[EA Play Season Pass]],"Yes")</f>
        <v>1</v>
      </c>
      <c r="O220" s="21">
        <f>COUNTIF(Tabela1[[#This Row],[Minecraft Season Pass]],"Yes")</f>
        <v>1</v>
      </c>
    </row>
    <row r="221" spans="1:15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  <c r="N221" s="21">
        <f>COUNTIF(Tabela1[[#This Row],[EA Play Season Pass]],"Yes")</f>
        <v>0</v>
      </c>
      <c r="O221" s="21">
        <f>COUNTIF(Tabela1[[#This Row],[Minecraft Season Pass]],"Yes")</f>
        <v>1</v>
      </c>
    </row>
    <row r="222" spans="1:15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  <c r="N222" s="21">
        <f>COUNTIF(Tabela1[[#This Row],[EA Play Season Pass]],"Yes")</f>
        <v>0</v>
      </c>
      <c r="O222" s="21">
        <f>COUNTIF(Tabela1[[#This Row],[Minecraft Season Pass]],"Yes")</f>
        <v>0</v>
      </c>
    </row>
    <row r="223" spans="1:15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21">
        <f>COUNTIF(Tabela1[[#This Row],[EA Play Season Pass]],"Yes")</f>
        <v>1</v>
      </c>
      <c r="O223" s="21">
        <f>COUNTIF(Tabela1[[#This Row],[Minecraft Season Pass]],"Yes")</f>
        <v>1</v>
      </c>
    </row>
    <row r="224" spans="1:15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  <c r="N224" s="21">
        <f>COUNTIF(Tabela1[[#This Row],[EA Play Season Pass]],"Yes")</f>
        <v>0</v>
      </c>
      <c r="O224" s="21">
        <f>COUNTIF(Tabela1[[#This Row],[Minecraft Season Pass]],"Yes")</f>
        <v>1</v>
      </c>
    </row>
    <row r="225" spans="1:15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  <c r="N225" s="21">
        <f>COUNTIF(Tabela1[[#This Row],[EA Play Season Pass]],"Yes")</f>
        <v>0</v>
      </c>
      <c r="O225" s="21">
        <f>COUNTIF(Tabela1[[#This Row],[Minecraft Season Pass]],"Yes")</f>
        <v>0</v>
      </c>
    </row>
    <row r="226" spans="1:15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21">
        <f>COUNTIF(Tabela1[[#This Row],[EA Play Season Pass]],"Yes")</f>
        <v>1</v>
      </c>
      <c r="O226" s="21">
        <f>COUNTIF(Tabela1[[#This Row],[Minecraft Season Pass]],"Yes")</f>
        <v>1</v>
      </c>
    </row>
    <row r="227" spans="1:15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  <c r="N227" s="21">
        <f>COUNTIF(Tabela1[[#This Row],[EA Play Season Pass]],"Yes")</f>
        <v>0</v>
      </c>
      <c r="O227" s="21">
        <f>COUNTIF(Tabela1[[#This Row],[Minecraft Season Pass]],"Yes")</f>
        <v>1</v>
      </c>
    </row>
    <row r="228" spans="1:15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  <c r="N228" s="21">
        <f>COUNTIF(Tabela1[[#This Row],[EA Play Season Pass]],"Yes")</f>
        <v>0</v>
      </c>
      <c r="O228" s="21">
        <f>COUNTIF(Tabela1[[#This Row],[Minecraft Season Pass]],"Yes")</f>
        <v>0</v>
      </c>
    </row>
    <row r="229" spans="1:15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21">
        <f>COUNTIF(Tabela1[[#This Row],[EA Play Season Pass]],"Yes")</f>
        <v>1</v>
      </c>
      <c r="O229" s="21">
        <f>COUNTIF(Tabela1[[#This Row],[Minecraft Season Pass]],"Yes")</f>
        <v>1</v>
      </c>
    </row>
    <row r="230" spans="1:15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  <c r="N230" s="21">
        <f>COUNTIF(Tabela1[[#This Row],[EA Play Season Pass]],"Yes")</f>
        <v>0</v>
      </c>
      <c r="O230" s="21">
        <f>COUNTIF(Tabela1[[#This Row],[Minecraft Season Pass]],"Yes")</f>
        <v>1</v>
      </c>
    </row>
    <row r="231" spans="1:15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  <c r="N231" s="21">
        <f>COUNTIF(Tabela1[[#This Row],[EA Play Season Pass]],"Yes")</f>
        <v>0</v>
      </c>
      <c r="O231" s="21">
        <f>COUNTIF(Tabela1[[#This Row],[Minecraft Season Pass]],"Yes")</f>
        <v>0</v>
      </c>
    </row>
    <row r="232" spans="1:15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21">
        <f>COUNTIF(Tabela1[[#This Row],[EA Play Season Pass]],"Yes")</f>
        <v>1</v>
      </c>
      <c r="O232" s="21">
        <f>COUNTIF(Tabela1[[#This Row],[Minecraft Season Pass]],"Yes")</f>
        <v>1</v>
      </c>
    </row>
    <row r="233" spans="1:15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  <c r="N233" s="21">
        <f>COUNTIF(Tabela1[[#This Row],[EA Play Season Pass]],"Yes")</f>
        <v>0</v>
      </c>
      <c r="O233" s="21">
        <f>COUNTIF(Tabela1[[#This Row],[Minecraft Season Pass]],"Yes")</f>
        <v>1</v>
      </c>
    </row>
    <row r="234" spans="1:15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  <c r="N234" s="21">
        <f>COUNTIF(Tabela1[[#This Row],[EA Play Season Pass]],"Yes")</f>
        <v>0</v>
      </c>
      <c r="O234" s="21">
        <f>COUNTIF(Tabela1[[#This Row],[Minecraft Season Pass]],"Yes")</f>
        <v>0</v>
      </c>
    </row>
    <row r="235" spans="1:15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21">
        <f>COUNTIF(Tabela1[[#This Row],[EA Play Season Pass]],"Yes")</f>
        <v>1</v>
      </c>
      <c r="O235" s="21">
        <f>COUNTIF(Tabela1[[#This Row],[Minecraft Season Pass]],"Yes")</f>
        <v>1</v>
      </c>
    </row>
    <row r="236" spans="1:15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  <c r="N236" s="21">
        <f>COUNTIF(Tabela1[[#This Row],[EA Play Season Pass]],"Yes")</f>
        <v>0</v>
      </c>
      <c r="O236" s="21">
        <f>COUNTIF(Tabela1[[#This Row],[Minecraft Season Pass]],"Yes")</f>
        <v>1</v>
      </c>
    </row>
    <row r="237" spans="1:15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  <c r="N237" s="21">
        <f>COUNTIF(Tabela1[[#This Row],[EA Play Season Pass]],"Yes")</f>
        <v>0</v>
      </c>
      <c r="O237" s="21">
        <f>COUNTIF(Tabela1[[#This Row],[Minecraft Season Pass]],"Yes")</f>
        <v>0</v>
      </c>
    </row>
    <row r="238" spans="1:15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21">
        <f>COUNTIF(Tabela1[[#This Row],[EA Play Season Pass]],"Yes")</f>
        <v>1</v>
      </c>
      <c r="O238" s="21">
        <f>COUNTIF(Tabela1[[#This Row],[Minecraft Season Pass]],"Yes")</f>
        <v>1</v>
      </c>
    </row>
    <row r="239" spans="1:15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  <c r="N239" s="21">
        <f>COUNTIF(Tabela1[[#This Row],[EA Play Season Pass]],"Yes")</f>
        <v>0</v>
      </c>
      <c r="O239" s="21">
        <f>COUNTIF(Tabela1[[#This Row],[Minecraft Season Pass]],"Yes")</f>
        <v>1</v>
      </c>
    </row>
    <row r="240" spans="1:15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  <c r="N240" s="21">
        <f>COUNTIF(Tabela1[[#This Row],[EA Play Season Pass]],"Yes")</f>
        <v>0</v>
      </c>
      <c r="O240" s="21">
        <f>COUNTIF(Tabela1[[#This Row],[Minecraft Season Pass]],"Yes")</f>
        <v>0</v>
      </c>
    </row>
    <row r="241" spans="1:15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21">
        <f>COUNTIF(Tabela1[[#This Row],[EA Play Season Pass]],"Yes")</f>
        <v>1</v>
      </c>
      <c r="O241" s="21">
        <f>COUNTIF(Tabela1[[#This Row],[Minecraft Season Pass]],"Yes")</f>
        <v>1</v>
      </c>
    </row>
    <row r="242" spans="1:15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  <c r="N242" s="21">
        <f>COUNTIF(Tabela1[[#This Row],[EA Play Season Pass]],"Yes")</f>
        <v>0</v>
      </c>
      <c r="O242" s="21">
        <f>COUNTIF(Tabela1[[#This Row],[Minecraft Season Pass]],"Yes")</f>
        <v>1</v>
      </c>
    </row>
    <row r="243" spans="1:15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  <c r="N243" s="21">
        <f>COUNTIF(Tabela1[[#This Row],[EA Play Season Pass]],"Yes")</f>
        <v>0</v>
      </c>
      <c r="O243" s="21">
        <f>COUNTIF(Tabela1[[#This Row],[Minecraft Season Pass]],"Yes")</f>
        <v>0</v>
      </c>
    </row>
    <row r="244" spans="1:15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21">
        <f>COUNTIF(Tabela1[[#This Row],[EA Play Season Pass]],"Yes")</f>
        <v>1</v>
      </c>
      <c r="O244" s="21">
        <f>COUNTIF(Tabela1[[#This Row],[Minecraft Season Pass]],"Yes")</f>
        <v>1</v>
      </c>
    </row>
    <row r="245" spans="1:15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  <c r="N245" s="21">
        <f>COUNTIF(Tabela1[[#This Row],[EA Play Season Pass]],"Yes")</f>
        <v>0</v>
      </c>
      <c r="O245" s="21">
        <f>COUNTIF(Tabela1[[#This Row],[Minecraft Season Pass]],"Yes")</f>
        <v>1</v>
      </c>
    </row>
    <row r="246" spans="1:15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  <c r="N246" s="21">
        <f>COUNTIF(Tabela1[[#This Row],[EA Play Season Pass]],"Yes")</f>
        <v>0</v>
      </c>
      <c r="O246" s="21">
        <f>COUNTIF(Tabela1[[#This Row],[Minecraft Season Pass]],"Yes")</f>
        <v>0</v>
      </c>
    </row>
    <row r="247" spans="1:15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21">
        <f>COUNTIF(Tabela1[[#This Row],[EA Play Season Pass]],"Yes")</f>
        <v>1</v>
      </c>
      <c r="O247" s="21">
        <f>COUNTIF(Tabela1[[#This Row],[Minecraft Season Pass]],"Yes")</f>
        <v>1</v>
      </c>
    </row>
    <row r="248" spans="1:15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  <c r="N248" s="21">
        <f>COUNTIF(Tabela1[[#This Row],[EA Play Season Pass]],"Yes")</f>
        <v>0</v>
      </c>
      <c r="O248" s="21">
        <f>COUNTIF(Tabela1[[#This Row],[Minecraft Season Pass]],"Yes")</f>
        <v>1</v>
      </c>
    </row>
    <row r="249" spans="1:15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  <c r="N249" s="21">
        <f>COUNTIF(Tabela1[[#This Row],[EA Play Season Pass]],"Yes")</f>
        <v>0</v>
      </c>
      <c r="O249" s="21">
        <f>COUNTIF(Tabela1[[#This Row],[Minecraft Season Pass]],"Yes")</f>
        <v>0</v>
      </c>
    </row>
    <row r="250" spans="1:15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21">
        <f>COUNTIF(Tabela1[[#This Row],[EA Play Season Pass]],"Yes")</f>
        <v>1</v>
      </c>
      <c r="O250" s="21">
        <f>COUNTIF(Tabela1[[#This Row],[Minecraft Season Pass]],"Yes")</f>
        <v>1</v>
      </c>
    </row>
    <row r="251" spans="1:15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  <c r="N251" s="21">
        <f>COUNTIF(Tabela1[[#This Row],[EA Play Season Pass]],"Yes")</f>
        <v>0</v>
      </c>
      <c r="O251" s="21">
        <f>COUNTIF(Tabela1[[#This Row],[Minecraft Season Pass]],"Yes")</f>
        <v>1</v>
      </c>
    </row>
    <row r="252" spans="1:15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  <c r="N252" s="21">
        <f>COUNTIF(Tabela1[[#This Row],[EA Play Season Pass]],"Yes")</f>
        <v>0</v>
      </c>
      <c r="O252" s="21">
        <f>COUNTIF(Tabela1[[#This Row],[Minecraft Season Pass]],"Yes")</f>
        <v>0</v>
      </c>
    </row>
    <row r="253" spans="1:15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21">
        <f>COUNTIF(Tabela1[[#This Row],[EA Play Season Pass]],"Yes")</f>
        <v>1</v>
      </c>
      <c r="O253" s="21">
        <f>COUNTIF(Tabela1[[#This Row],[Minecraft Season Pass]],"Yes")</f>
        <v>1</v>
      </c>
    </row>
    <row r="254" spans="1:15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  <c r="N254" s="21">
        <f>COUNTIF(Tabela1[[#This Row],[EA Play Season Pass]],"Yes")</f>
        <v>0</v>
      </c>
      <c r="O254" s="21">
        <f>COUNTIF(Tabela1[[#This Row],[Minecraft Season Pass]],"Yes")</f>
        <v>1</v>
      </c>
    </row>
    <row r="255" spans="1:15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  <c r="N255" s="21">
        <f>COUNTIF(Tabela1[[#This Row],[EA Play Season Pass]],"Yes")</f>
        <v>0</v>
      </c>
      <c r="O255" s="21">
        <f>COUNTIF(Tabela1[[#This Row],[Minecraft Season Pass]],"Yes")</f>
        <v>0</v>
      </c>
    </row>
    <row r="256" spans="1:15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21">
        <f>COUNTIF(Tabela1[[#This Row],[EA Play Season Pass]],"Yes")</f>
        <v>1</v>
      </c>
      <c r="O256" s="21">
        <f>COUNTIF(Tabela1[[#This Row],[Minecraft Season Pass]],"Yes")</f>
        <v>1</v>
      </c>
    </row>
    <row r="257" spans="1:15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  <c r="N257" s="21">
        <f>COUNTIF(Tabela1[[#This Row],[EA Play Season Pass]],"Yes")</f>
        <v>0</v>
      </c>
      <c r="O257" s="21">
        <f>COUNTIF(Tabela1[[#This Row],[Minecraft Season Pass]],"Yes")</f>
        <v>0</v>
      </c>
    </row>
    <row r="258" spans="1:15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21">
        <f>COUNTIF(Tabela1[[#This Row],[EA Play Season Pass]],"Yes")</f>
        <v>1</v>
      </c>
      <c r="O258" s="21">
        <f>COUNTIF(Tabela1[[#This Row],[Minecraft Season Pass]],"Yes")</f>
        <v>1</v>
      </c>
    </row>
    <row r="259" spans="1:15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  <c r="N259" s="21">
        <f>COUNTIF(Tabela1[[#This Row],[EA Play Season Pass]],"Yes")</f>
        <v>0</v>
      </c>
      <c r="O259" s="21">
        <f>COUNTIF(Tabela1[[#This Row],[Minecraft Season Pass]],"Yes")</f>
        <v>1</v>
      </c>
    </row>
    <row r="260" spans="1:15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  <c r="N260" s="21">
        <f>COUNTIF(Tabela1[[#This Row],[EA Play Season Pass]],"Yes")</f>
        <v>0</v>
      </c>
      <c r="O260" s="21">
        <f>COUNTIF(Tabela1[[#This Row],[Minecraft Season Pass]],"Yes")</f>
        <v>0</v>
      </c>
    </row>
    <row r="261" spans="1:15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21">
        <f>COUNTIF(Tabela1[[#This Row],[EA Play Season Pass]],"Yes")</f>
        <v>1</v>
      </c>
      <c r="O261" s="21">
        <f>COUNTIF(Tabela1[[#This Row],[Minecraft Season Pass]],"Yes")</f>
        <v>1</v>
      </c>
    </row>
    <row r="262" spans="1:15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  <c r="N262" s="21">
        <f>COUNTIF(Tabela1[[#This Row],[EA Play Season Pass]],"Yes")</f>
        <v>0</v>
      </c>
      <c r="O262" s="21">
        <f>COUNTIF(Tabela1[[#This Row],[Minecraft Season Pass]],"Yes")</f>
        <v>1</v>
      </c>
    </row>
    <row r="263" spans="1:15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  <c r="N263" s="21">
        <f>COUNTIF(Tabela1[[#This Row],[EA Play Season Pass]],"Yes")</f>
        <v>0</v>
      </c>
      <c r="O263" s="21">
        <f>COUNTIF(Tabela1[[#This Row],[Minecraft Season Pass]],"Yes")</f>
        <v>0</v>
      </c>
    </row>
    <row r="264" spans="1:15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21">
        <f>COUNTIF(Tabela1[[#This Row],[EA Play Season Pass]],"Yes")</f>
        <v>1</v>
      </c>
      <c r="O264" s="21">
        <f>COUNTIF(Tabela1[[#This Row],[Minecraft Season Pass]],"Yes")</f>
        <v>1</v>
      </c>
    </row>
    <row r="265" spans="1:15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  <c r="N265" s="21">
        <f>COUNTIF(Tabela1[[#This Row],[EA Play Season Pass]],"Yes")</f>
        <v>0</v>
      </c>
      <c r="O265" s="21">
        <f>COUNTIF(Tabela1[[#This Row],[Minecraft Season Pass]],"Yes")</f>
        <v>1</v>
      </c>
    </row>
    <row r="266" spans="1:15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  <c r="N266" s="21">
        <f>COUNTIF(Tabela1[[#This Row],[EA Play Season Pass]],"Yes")</f>
        <v>0</v>
      </c>
      <c r="O266" s="21">
        <f>COUNTIF(Tabela1[[#This Row],[Minecraft Season Pass]],"Yes")</f>
        <v>0</v>
      </c>
    </row>
    <row r="267" spans="1:15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21">
        <f>COUNTIF(Tabela1[[#This Row],[EA Play Season Pass]],"Yes")</f>
        <v>1</v>
      </c>
      <c r="O267" s="21">
        <f>COUNTIF(Tabela1[[#This Row],[Minecraft Season Pass]],"Yes")</f>
        <v>1</v>
      </c>
    </row>
    <row r="268" spans="1:15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  <c r="N268" s="21">
        <f>COUNTIF(Tabela1[[#This Row],[EA Play Season Pass]],"Yes")</f>
        <v>0</v>
      </c>
      <c r="O268" s="21">
        <f>COUNTIF(Tabela1[[#This Row],[Minecraft Season Pass]],"Yes")</f>
        <v>1</v>
      </c>
    </row>
    <row r="269" spans="1:15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  <c r="N269" s="21">
        <f>COUNTIF(Tabela1[[#This Row],[EA Play Season Pass]],"Yes")</f>
        <v>0</v>
      </c>
      <c r="O269" s="21">
        <f>COUNTIF(Tabela1[[#This Row],[Minecraft Season Pass]],"Yes")</f>
        <v>0</v>
      </c>
    </row>
    <row r="270" spans="1:15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21">
        <f>COUNTIF(Tabela1[[#This Row],[EA Play Season Pass]],"Yes")</f>
        <v>1</v>
      </c>
      <c r="O270" s="21">
        <f>COUNTIF(Tabela1[[#This Row],[Minecraft Season Pass]],"Yes")</f>
        <v>1</v>
      </c>
    </row>
    <row r="271" spans="1:15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  <c r="N271" s="21">
        <f>COUNTIF(Tabela1[[#This Row],[EA Play Season Pass]],"Yes")</f>
        <v>0</v>
      </c>
      <c r="O271" s="21">
        <f>COUNTIF(Tabela1[[#This Row],[Minecraft Season Pass]],"Yes")</f>
        <v>1</v>
      </c>
    </row>
    <row r="272" spans="1:15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  <c r="N272" s="21">
        <f>COUNTIF(Tabela1[[#This Row],[EA Play Season Pass]],"Yes")</f>
        <v>0</v>
      </c>
      <c r="O272" s="21">
        <f>COUNTIF(Tabela1[[#This Row],[Minecraft Season Pass]],"Yes")</f>
        <v>0</v>
      </c>
    </row>
    <row r="273" spans="1:15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21">
        <f>COUNTIF(Tabela1[[#This Row],[EA Play Season Pass]],"Yes")</f>
        <v>1</v>
      </c>
      <c r="O273" s="21">
        <f>COUNTIF(Tabela1[[#This Row],[Minecraft Season Pass]],"Yes")</f>
        <v>1</v>
      </c>
    </row>
    <row r="274" spans="1:15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  <c r="N274" s="21">
        <f>COUNTIF(Tabela1[[#This Row],[EA Play Season Pass]],"Yes")</f>
        <v>0</v>
      </c>
      <c r="O274" s="21">
        <f>COUNTIF(Tabela1[[#This Row],[Minecraft Season Pass]],"Yes")</f>
        <v>1</v>
      </c>
    </row>
    <row r="275" spans="1:15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  <c r="N275" s="21">
        <f>COUNTIF(Tabela1[[#This Row],[EA Play Season Pass]],"Yes")</f>
        <v>0</v>
      </c>
      <c r="O275" s="21">
        <f>COUNTIF(Tabela1[[#This Row],[Minecraft Season Pass]],"Yes")</f>
        <v>0</v>
      </c>
    </row>
    <row r="276" spans="1:15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21">
        <f>COUNTIF(Tabela1[[#This Row],[EA Play Season Pass]],"Yes")</f>
        <v>1</v>
      </c>
      <c r="O276" s="21">
        <f>COUNTIF(Tabela1[[#This Row],[Minecraft Season Pass]],"Yes")</f>
        <v>1</v>
      </c>
    </row>
    <row r="277" spans="1:15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  <c r="N277" s="21">
        <f>COUNTIF(Tabela1[[#This Row],[EA Play Season Pass]],"Yes")</f>
        <v>0</v>
      </c>
      <c r="O277" s="21">
        <f>COUNTIF(Tabela1[[#This Row],[Minecraft Season Pass]],"Yes")</f>
        <v>1</v>
      </c>
    </row>
    <row r="278" spans="1:15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  <c r="N278" s="21">
        <f>COUNTIF(Tabela1[[#This Row],[EA Play Season Pass]],"Yes")</f>
        <v>0</v>
      </c>
      <c r="O278" s="21">
        <f>COUNTIF(Tabela1[[#This Row],[Minecraft Season Pass]],"Yes")</f>
        <v>0</v>
      </c>
    </row>
    <row r="279" spans="1:15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21">
        <f>COUNTIF(Tabela1[[#This Row],[EA Play Season Pass]],"Yes")</f>
        <v>1</v>
      </c>
      <c r="O279" s="21">
        <f>COUNTIF(Tabela1[[#This Row],[Minecraft Season Pass]],"Yes")</f>
        <v>1</v>
      </c>
    </row>
    <row r="280" spans="1:15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  <c r="N280" s="21">
        <f>COUNTIF(Tabela1[[#This Row],[EA Play Season Pass]],"Yes")</f>
        <v>0</v>
      </c>
      <c r="O280" s="21">
        <f>COUNTIF(Tabela1[[#This Row],[Minecraft Season Pass]],"Yes")</f>
        <v>1</v>
      </c>
    </row>
    <row r="281" spans="1:15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  <c r="N281" s="21">
        <f>COUNTIF(Tabela1[[#This Row],[EA Play Season Pass]],"Yes")</f>
        <v>0</v>
      </c>
      <c r="O281" s="21">
        <f>COUNTIF(Tabela1[[#This Row],[Minecraft Season Pass]],"Yes")</f>
        <v>0</v>
      </c>
    </row>
    <row r="282" spans="1:15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21">
        <f>COUNTIF(Tabela1[[#This Row],[EA Play Season Pass]],"Yes")</f>
        <v>1</v>
      </c>
      <c r="O282" s="21">
        <f>COUNTIF(Tabela1[[#This Row],[Minecraft Season Pass]],"Yes")</f>
        <v>1</v>
      </c>
    </row>
    <row r="283" spans="1:15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  <c r="N283" s="21">
        <f>COUNTIF(Tabela1[[#This Row],[EA Play Season Pass]],"Yes")</f>
        <v>0</v>
      </c>
      <c r="O283" s="21">
        <f>COUNTIF(Tabela1[[#This Row],[Minecraft Season Pass]],"Yes")</f>
        <v>1</v>
      </c>
    </row>
    <row r="284" spans="1:15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  <c r="N284" s="21">
        <f>COUNTIF(Tabela1[[#This Row],[EA Play Season Pass]],"Yes")</f>
        <v>0</v>
      </c>
      <c r="O284" s="21">
        <f>COUNTIF(Tabela1[[#This Row],[Minecraft Season Pass]],"Yes")</f>
        <v>0</v>
      </c>
    </row>
    <row r="285" spans="1:15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21">
        <f>COUNTIF(Tabela1[[#This Row],[EA Play Season Pass]],"Yes")</f>
        <v>1</v>
      </c>
      <c r="O285" s="21">
        <f>COUNTIF(Tabela1[[#This Row],[Minecraft Season Pass]],"Yes")</f>
        <v>1</v>
      </c>
    </row>
    <row r="286" spans="1:15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  <c r="N286" s="21">
        <f>COUNTIF(Tabela1[[#This Row],[EA Play Season Pass]],"Yes")</f>
        <v>0</v>
      </c>
      <c r="O286" s="21">
        <f>COUNTIF(Tabela1[[#This Row],[Minecraft Season Pass]],"Yes")</f>
        <v>1</v>
      </c>
    </row>
    <row r="287" spans="1:15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  <c r="N287" s="21">
        <f>COUNTIF(Tabela1[[#This Row],[EA Play Season Pass]],"Yes")</f>
        <v>0</v>
      </c>
      <c r="O287" s="21">
        <f>COUNTIF(Tabela1[[#This Row],[Minecraft Season Pass]],"Yes")</f>
        <v>0</v>
      </c>
    </row>
    <row r="288" spans="1:15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21">
        <f>COUNTIF(Tabela1[[#This Row],[EA Play Season Pass]],"Yes")</f>
        <v>1</v>
      </c>
      <c r="O288" s="21">
        <f>COUNTIF(Tabela1[[#This Row],[Minecraft Season Pass]],"Yes")</f>
        <v>1</v>
      </c>
    </row>
    <row r="289" spans="1:15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  <c r="N289" s="21">
        <f>COUNTIF(Tabela1[[#This Row],[EA Play Season Pass]],"Yes")</f>
        <v>0</v>
      </c>
      <c r="O289" s="21">
        <f>COUNTIF(Tabela1[[#This Row],[Minecraft Season Pass]],"Yes")</f>
        <v>1</v>
      </c>
    </row>
    <row r="290" spans="1:15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  <c r="N290" s="21">
        <f>COUNTIF(Tabela1[[#This Row],[EA Play Season Pass]],"Yes")</f>
        <v>0</v>
      </c>
      <c r="O290" s="21">
        <f>COUNTIF(Tabela1[[#This Row],[Minecraft Season Pass]],"Yes")</f>
        <v>0</v>
      </c>
    </row>
    <row r="291" spans="1:15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21">
        <f>COUNTIF(Tabela1[[#This Row],[EA Play Season Pass]],"Yes")</f>
        <v>1</v>
      </c>
      <c r="O291" s="21">
        <f>COUNTIF(Tabela1[[#This Row],[Minecraft Season Pass]],"Yes")</f>
        <v>1</v>
      </c>
    </row>
    <row r="292" spans="1:15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  <c r="N292" s="21">
        <f>COUNTIF(Tabela1[[#This Row],[EA Play Season Pass]],"Yes")</f>
        <v>0</v>
      </c>
      <c r="O292" s="21">
        <f>COUNTIF(Tabela1[[#This Row],[Minecraft Season Pass]],"Yes")</f>
        <v>1</v>
      </c>
    </row>
    <row r="293" spans="1:15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  <c r="N293" s="21">
        <f>COUNTIF(Tabela1[[#This Row],[EA Play Season Pass]],"Yes")</f>
        <v>0</v>
      </c>
      <c r="O293" s="21">
        <f>COUNTIF(Tabela1[[#This Row],[Minecraft Season Pass]],"Yes")</f>
        <v>0</v>
      </c>
    </row>
    <row r="294" spans="1:15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21">
        <f>COUNTIF(Tabela1[[#This Row],[EA Play Season Pass]],"Yes")</f>
        <v>1</v>
      </c>
      <c r="O294" s="21">
        <f>COUNTIF(Tabela1[[#This Row],[Minecraft Season Pass]],"Yes")</f>
        <v>1</v>
      </c>
    </row>
    <row r="295" spans="1:15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  <c r="N295" s="21">
        <f>COUNTIF(Tabela1[[#This Row],[EA Play Season Pass]],"Yes")</f>
        <v>0</v>
      </c>
      <c r="O295" s="21">
        <f>COUNTIF(Tabela1[[#This Row],[Minecraft Season Pass]],"Yes")</f>
        <v>1</v>
      </c>
    </row>
    <row r="296" spans="1:15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  <c r="N296" s="21">
        <f>COUNTIF(Tabela1[[#This Row],[EA Play Season Pass]],"Yes")</f>
        <v>0</v>
      </c>
      <c r="O296" s="21">
        <f>COUNTIF(Tabela1[[#This Row],[Minecraft Season Pass]],"Yes")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3"/>
  <sheetViews>
    <sheetView showGridLines="0" showRowColHeaders="0" topLeftCell="A6" workbookViewId="0">
      <selection activeCell="D13" sqref="D13"/>
    </sheetView>
  </sheetViews>
  <sheetFormatPr defaultRowHeight="14.25"/>
  <cols>
    <col min="2" max="2" width="18" customWidth="1"/>
    <col min="3" max="4" width="29.875" customWidth="1"/>
    <col min="5" max="5" width="10.75" customWidth="1"/>
    <col min="6" max="6" width="8.375" customWidth="1"/>
    <col min="7" max="7" width="6" customWidth="1"/>
    <col min="8" max="10" width="3.875" customWidth="1"/>
    <col min="11" max="11" width="4.125" customWidth="1"/>
    <col min="12" max="13" width="3.875" customWidth="1"/>
    <col min="14" max="14" width="4.25" customWidth="1"/>
    <col min="15" max="15" width="4.125" customWidth="1"/>
    <col min="16" max="16" width="9.25" customWidth="1"/>
    <col min="17" max="17" width="10.75" customWidth="1"/>
  </cols>
  <sheetData>
    <row r="3" spans="2:6">
      <c r="B3" s="23" t="s">
        <v>317</v>
      </c>
      <c r="C3" s="23"/>
      <c r="D3" s="23"/>
      <c r="E3" s="23"/>
      <c r="F3" s="23"/>
    </row>
    <row r="6" spans="2:6" ht="15">
      <c r="B6" t="s">
        <v>339</v>
      </c>
    </row>
    <row r="7" spans="2:6" ht="15">
      <c r="B7" t="s">
        <v>340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318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  <c r="E14" s="20">
        <f>GETPIVOTDATA("Total Value",$B$11)</f>
        <v>3571</v>
      </c>
    </row>
    <row r="15" spans="2:6">
      <c r="E15" s="20"/>
    </row>
    <row r="16" spans="2:6">
      <c r="E16" s="20"/>
    </row>
    <row r="17" spans="2:5">
      <c r="B17" s="14" t="s">
        <v>319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320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  <row r="39" spans="2:5">
      <c r="B39" s="14" t="s">
        <v>322</v>
      </c>
    </row>
    <row r="40" spans="2:5">
      <c r="B40" s="14"/>
    </row>
    <row r="41" spans="2:5">
      <c r="B41" s="12" t="s">
        <v>16</v>
      </c>
      <c r="C41" t="s">
        <v>20</v>
      </c>
    </row>
    <row r="43" spans="2:5">
      <c r="B43" s="12" t="s">
        <v>309</v>
      </c>
      <c r="C43" t="s">
        <v>318</v>
      </c>
    </row>
    <row r="44" spans="2:5">
      <c r="B44" s="14" t="s">
        <v>22</v>
      </c>
      <c r="C44" s="13">
        <v>192</v>
      </c>
    </row>
    <row r="45" spans="2:5">
      <c r="B45" s="14" t="s">
        <v>26</v>
      </c>
      <c r="C45" s="13">
        <v>958</v>
      </c>
    </row>
    <row r="46" spans="2:5">
      <c r="B46" s="14" t="s">
        <v>18</v>
      </c>
      <c r="C46" s="13">
        <v>2421</v>
      </c>
    </row>
    <row r="47" spans="2:5">
      <c r="B47" s="14" t="s">
        <v>310</v>
      </c>
      <c r="C47" s="13">
        <v>3571</v>
      </c>
    </row>
    <row r="49" spans="2:3">
      <c r="B49" s="14" t="s">
        <v>343</v>
      </c>
    </row>
    <row r="51" spans="2:3">
      <c r="B51" s="12" t="s">
        <v>16</v>
      </c>
      <c r="C51" t="s">
        <v>20</v>
      </c>
    </row>
    <row r="53" spans="2:3">
      <c r="B53" s="12" t="s">
        <v>309</v>
      </c>
      <c r="C53" t="s">
        <v>335</v>
      </c>
    </row>
    <row r="54" spans="2:3">
      <c r="B54" s="14" t="s">
        <v>323</v>
      </c>
      <c r="C54" s="15">
        <v>1</v>
      </c>
    </row>
    <row r="55" spans="2:3">
      <c r="B55" s="14" t="s">
        <v>344</v>
      </c>
      <c r="C55" s="15">
        <v>1</v>
      </c>
    </row>
    <row r="56" spans="2:3">
      <c r="B56" s="14" t="s">
        <v>324</v>
      </c>
      <c r="C56" s="15">
        <v>5</v>
      </c>
    </row>
    <row r="57" spans="2:3">
      <c r="B57" s="14" t="s">
        <v>325</v>
      </c>
      <c r="C57" s="15">
        <v>4</v>
      </c>
    </row>
    <row r="58" spans="2:3">
      <c r="B58" s="14" t="s">
        <v>326</v>
      </c>
      <c r="C58" s="15">
        <v>4</v>
      </c>
    </row>
    <row r="59" spans="2:3">
      <c r="B59" s="14" t="s">
        <v>327</v>
      </c>
      <c r="C59" s="15">
        <v>5</v>
      </c>
    </row>
    <row r="60" spans="2:3">
      <c r="B60" s="14" t="s">
        <v>328</v>
      </c>
      <c r="C60" s="15">
        <v>4</v>
      </c>
    </row>
    <row r="61" spans="2:3">
      <c r="B61" s="14" t="s">
        <v>329</v>
      </c>
      <c r="C61" s="15">
        <v>4</v>
      </c>
    </row>
    <row r="62" spans="2:3">
      <c r="B62" s="14" t="s">
        <v>330</v>
      </c>
      <c r="C62" s="15">
        <v>4</v>
      </c>
    </row>
    <row r="63" spans="2:3">
      <c r="B63" s="14" t="s">
        <v>331</v>
      </c>
      <c r="C63" s="15">
        <v>6</v>
      </c>
    </row>
    <row r="64" spans="2:3">
      <c r="B64" s="14" t="s">
        <v>332</v>
      </c>
      <c r="C64" s="15">
        <v>4</v>
      </c>
    </row>
    <row r="65" spans="2:3">
      <c r="B65" s="14" t="s">
        <v>333</v>
      </c>
      <c r="C65" s="15">
        <v>3</v>
      </c>
    </row>
    <row r="66" spans="2:3">
      <c r="B66" s="14" t="s">
        <v>310</v>
      </c>
      <c r="C66" s="15">
        <v>45</v>
      </c>
    </row>
    <row r="67" spans="2:3">
      <c r="B67" t="s">
        <v>342</v>
      </c>
    </row>
    <row r="69" spans="2:3">
      <c r="B69" s="12" t="s">
        <v>16</v>
      </c>
      <c r="C69" t="s">
        <v>20</v>
      </c>
    </row>
    <row r="71" spans="2:3">
      <c r="B71" s="12" t="s">
        <v>309</v>
      </c>
      <c r="C71" t="s">
        <v>337</v>
      </c>
    </row>
    <row r="72" spans="2:3">
      <c r="B72" s="14" t="s">
        <v>323</v>
      </c>
      <c r="C72" s="15">
        <v>1</v>
      </c>
    </row>
    <row r="73" spans="2:3">
      <c r="B73" s="14" t="s">
        <v>344</v>
      </c>
      <c r="C73" s="15">
        <v>1</v>
      </c>
    </row>
    <row r="74" spans="2:3">
      <c r="B74" s="14" t="s">
        <v>324</v>
      </c>
      <c r="C74" s="15">
        <v>10</v>
      </c>
    </row>
    <row r="75" spans="2:3">
      <c r="B75" s="14" t="s">
        <v>325</v>
      </c>
      <c r="C75" s="15">
        <v>9</v>
      </c>
    </row>
    <row r="76" spans="2:3">
      <c r="B76" s="14" t="s">
        <v>326</v>
      </c>
      <c r="C76" s="15">
        <v>8</v>
      </c>
    </row>
    <row r="77" spans="2:3">
      <c r="B77" s="14" t="s">
        <v>327</v>
      </c>
      <c r="C77" s="15">
        <v>9</v>
      </c>
    </row>
    <row r="78" spans="2:3">
      <c r="B78" s="14" t="s">
        <v>328</v>
      </c>
      <c r="C78" s="15">
        <v>9</v>
      </c>
    </row>
    <row r="79" spans="2:3">
      <c r="B79" s="14" t="s">
        <v>329</v>
      </c>
      <c r="C79" s="15">
        <v>9</v>
      </c>
    </row>
    <row r="80" spans="2:3">
      <c r="B80" s="14" t="s">
        <v>330</v>
      </c>
      <c r="C80" s="15">
        <v>9</v>
      </c>
    </row>
    <row r="81" spans="2:5">
      <c r="B81" s="14" t="s">
        <v>331</v>
      </c>
      <c r="C81" s="15">
        <v>11</v>
      </c>
    </row>
    <row r="82" spans="2:5">
      <c r="B82" s="14" t="s">
        <v>332</v>
      </c>
      <c r="C82" s="15">
        <v>9</v>
      </c>
    </row>
    <row r="83" spans="2:5">
      <c r="B83" s="14" t="s">
        <v>333</v>
      </c>
      <c r="C83" s="15">
        <v>5</v>
      </c>
    </row>
    <row r="84" spans="2:5">
      <c r="B84" s="14" t="s">
        <v>310</v>
      </c>
      <c r="C84" s="15">
        <v>90</v>
      </c>
    </row>
    <row r="86" spans="2:5">
      <c r="B86" s="14" t="s">
        <v>341</v>
      </c>
    </row>
    <row r="88" spans="2:5">
      <c r="B88" s="12" t="s">
        <v>16</v>
      </c>
      <c r="C88" t="s">
        <v>20</v>
      </c>
    </row>
    <row r="90" spans="2:5">
      <c r="B90" s="12" t="s">
        <v>309</v>
      </c>
      <c r="C90" t="s">
        <v>338</v>
      </c>
    </row>
    <row r="91" spans="2:5">
      <c r="B91" s="14" t="s">
        <v>323</v>
      </c>
      <c r="C91" s="15">
        <v>1</v>
      </c>
    </row>
    <row r="92" spans="2:5">
      <c r="B92" s="14" t="s">
        <v>344</v>
      </c>
      <c r="C92" s="15">
        <v>1</v>
      </c>
      <c r="E92" s="15"/>
    </row>
    <row r="93" spans="2:5">
      <c r="B93" s="14" t="s">
        <v>324</v>
      </c>
      <c r="C93" s="15">
        <v>16</v>
      </c>
      <c r="E93" s="15"/>
    </row>
    <row r="94" spans="2:5">
      <c r="B94" s="14" t="s">
        <v>325</v>
      </c>
      <c r="C94" s="15">
        <v>14</v>
      </c>
      <c r="D94" s="15"/>
      <c r="E94" s="15"/>
    </row>
    <row r="95" spans="2:5">
      <c r="B95" s="14" t="s">
        <v>326</v>
      </c>
      <c r="C95" s="15">
        <v>13</v>
      </c>
      <c r="D95" s="15"/>
      <c r="E95" s="15"/>
    </row>
    <row r="96" spans="2:5">
      <c r="B96" s="14" t="s">
        <v>327</v>
      </c>
      <c r="C96" s="15">
        <v>13</v>
      </c>
    </row>
    <row r="97" spans="2:5">
      <c r="B97" s="14" t="s">
        <v>328</v>
      </c>
      <c r="C97" s="15">
        <v>15</v>
      </c>
    </row>
    <row r="98" spans="2:5">
      <c r="B98" s="14" t="s">
        <v>329</v>
      </c>
      <c r="C98" s="15">
        <v>14</v>
      </c>
    </row>
    <row r="99" spans="2:5">
      <c r="B99" s="14" t="s">
        <v>330</v>
      </c>
      <c r="C99" s="15">
        <v>14</v>
      </c>
    </row>
    <row r="100" spans="2:5">
      <c r="B100" s="14" t="s">
        <v>331</v>
      </c>
      <c r="C100" s="15">
        <v>16</v>
      </c>
    </row>
    <row r="101" spans="2:5">
      <c r="B101" s="14" t="s">
        <v>332</v>
      </c>
      <c r="C101" s="15">
        <v>14</v>
      </c>
    </row>
    <row r="102" spans="2:5">
      <c r="B102" s="14" t="s">
        <v>333</v>
      </c>
      <c r="C102" s="15">
        <v>8</v>
      </c>
    </row>
    <row r="103" spans="2:5">
      <c r="B103" s="14" t="s">
        <v>310</v>
      </c>
      <c r="C103" s="15">
        <v>139</v>
      </c>
      <c r="E103">
        <f>GETPIVOTDATA("Subscription Type",$B$90)</f>
        <v>139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C7" sqref="C7"/>
    </sheetView>
  </sheetViews>
  <sheetFormatPr defaultRowHeight="14.25"/>
  <cols>
    <col min="1" max="1" width="26.25" style="4" customWidth="1"/>
    <col min="2" max="2" width="3.625" customWidth="1"/>
    <col min="12" max="12" width="6.625" customWidth="1"/>
  </cols>
  <sheetData>
    <row r="2" spans="1:19" ht="27.75" customHeight="1" thickBot="1">
      <c r="C2" s="18" t="s">
        <v>321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851b35d3-0456-4d6a-bc2f-da927e91d158"/>
    <ds:schemaRef ds:uri="http://purl.org/dc/dcmitype/"/>
    <ds:schemaRef ds:uri="19483571-f922-4e8e-9c1c-26f0a2252132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Dell</cp:lastModifiedBy>
  <dcterms:created xsi:type="dcterms:W3CDTF">2024-12-19T13:13:10Z</dcterms:created>
  <dcterms:modified xsi:type="dcterms:W3CDTF">2026-10-15T22:29:50Z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